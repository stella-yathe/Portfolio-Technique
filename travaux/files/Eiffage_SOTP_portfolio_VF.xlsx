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éthodologie" sheetId="1" state="visible" r:id="rId3"/>
    <sheet name="Données" sheetId="2" state="visible" r:id="rId4"/>
    <sheet name="Hypothèses" sheetId="3" state="visible" r:id="rId5"/>
    <sheet name="SOTP" sheetId="4" state="visible" r:id="rId6"/>
    <sheet name="Football field" sheetId="5" state="visible" r:id="rId7"/>
    <sheet name="Sensibilité" sheetId="6" state="visible" r:id="rId8"/>
    <sheet name="Travaux" sheetId="7" state="visible" r:id="rId9"/>
    <sheet name="Eiffarie (APRR-AREA-Aliaé)" sheetId="8" state="visible" r:id="rId10"/>
    <sheet name="Autres concessions" sheetId="9" state="visible" r:id="rId11"/>
    <sheet name="Multiple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<sst xmlns="http://schemas.openxmlformats.org/spreadsheetml/2006/main" count="687" uniqueCount="540">
  <si>
    <t xml:space="preserve">Valorisation par somme des parties (SOTP) : méthode et hypothèses retenues</t>
  </si>
  <si>
    <t xml:space="preserve">Société :  Eiffage SA</t>
  </si>
  <si>
    <t xml:space="preserve">Objectif : estimer la valeur d'une action Eiffage SA</t>
  </si>
  <si>
    <t xml:space="preserve">Méthode : valorisation de chaque activité par DCF, puis comparaison avec les multiples de sociétés cotées comparables, les objectifs de cours des analystes et le cours de bourse.</t>
  </si>
  <si>
    <t xml:space="preserve">Date de valorisation : 09/10/2026</t>
  </si>
  <si>
    <t xml:space="preserve">Exercice de référence: 2025</t>
  </si>
  <si>
    <t xml:space="preserve">Notes : flux considérés en fin d’année. Montants exprimés en M€, sauf indication contraire.</t>
  </si>
  <si>
    <t xml:space="preserve">Ce classeur est un exercice académique de valorisation</t>
  </si>
  <si>
    <t xml:space="preserve">Sources :DEU Eiffage 2021 à 2025, comptes consolidés d’APRR 2025, rapports annuels 2025 de VINCI, Bouygues, HOCHTIEF, STRABAG, Skanska et Ferrovial. Les hypothèses de marché s’appuient sur les données de Damodaran (bêtas européens de janvier 2026, prime de risque pays de juillet 2026 et croissance attendue), le taux des OAT françaises à 10 ans et le cours de l’action Eiffage sur Boursorama. Ideal Investisseurs pour le consensus des analystes.</t>
  </si>
  <si>
    <t xml:space="preserve">Liens</t>
  </si>
  <si>
    <t xml:space="preserve">Eiffage, DEU 2025 à 2021</t>
  </si>
  <si>
    <t xml:space="preserve">APRR, comptes consolidés 2025</t>
  </si>
  <si>
    <t xml:space="preserve">VINCI, états financiers consolidés 2025</t>
  </si>
  <si>
    <t xml:space="preserve">HOCHTIEF, rapport annuel 2025</t>
  </si>
  <si>
    <t xml:space="preserve">Bouygues, DEU 2025</t>
  </si>
  <si>
    <t xml:space="preserve">STRABAG, rapport annuel 2025</t>
  </si>
  <si>
    <t xml:space="preserve">Skanska, rapport annuel 2025</t>
  </si>
  <si>
    <t xml:space="preserve">Ferrovial, rapport annuel 2025</t>
  </si>
  <si>
    <t xml:space="preserve">Damodaran, données financières actualisées</t>
  </si>
  <si>
    <t xml:space="preserve">Agence France Trésor, données sur les OAT</t>
  </si>
  <si>
    <t xml:space="preserve">Boursorama, cours de l’action Eiffage</t>
  </si>
  <si>
    <t xml:space="preserve">Consensus, Ideal Investisseurs</t>
  </si>
  <si>
    <t xml:space="preserve">1. Architecture du classeur</t>
  </si>
  <si>
    <t xml:space="preserve">Feuille</t>
  </si>
  <si>
    <t xml:space="preserve">Données</t>
  </si>
  <si>
    <t xml:space="preserve">Tous les chiffres issus des documents officiels</t>
  </si>
  <si>
    <t xml:space="preserve">Hypothèses</t>
  </si>
  <si>
    <t xml:space="preserve">Hypothèses communes (taux sans risque, prime de risque, impôts, cours, dette nette, participations) </t>
  </si>
  <si>
    <t xml:space="preserve">Travaux / Eiffarie / Autres concessions</t>
  </si>
  <si>
    <t xml:space="preserve">Un DCF par bloc</t>
  </si>
  <si>
    <t xml:space="preserve">SOTP</t>
  </si>
  <si>
    <t xml:space="preserve">Somme des parties</t>
  </si>
  <si>
    <t xml:space="preserve">Multiples</t>
  </si>
  <si>
    <t xml:space="preserve">Multiples des pairs (Q1, médiane, Q3) appliqués à Eiffage.</t>
  </si>
  <si>
    <t xml:space="preserve">Sensibilité</t>
  </si>
  <si>
    <t xml:space="preserve">Sensibilité de la valeur par action selon le WACC et la croissance à l’infini g </t>
  </si>
  <si>
    <t xml:space="preserve">Football field</t>
  </si>
  <si>
    <t xml:space="preserve">Synthèse graphique des fourchettes de valeur par méthode.</t>
  </si>
  <si>
    <t xml:space="preserve">2. Pourquoi une somme des parties</t>
  </si>
  <si>
    <t xml:space="preserve">Les trois blocs sont valorisés séparément, car ils présentent des niveaux de risque et des durées d’exploitation différents.
Travaux (Construction, Infrastructures, Énergie Systèmes) est traité comme une activité pérenne. Sa valorisation inclut une valeur terminale calculée selon la méthode de Gordon-Shapiro.
Financière Eiffarie (APRR, AREA et Aliaé) regroupe des concessions qui arrivent à échéance en 2035 et 2036. Les ouvrages sont ensuite remis à l’État sans indemnité. Seuls les flux prévisionnels jusqu’à la fin des concessions sont donc retenus, sans valeur terminale.
Les autres concessions (A'liénor, Adelac, viaduc de Millau, aéroport de Toulouse-Blagnac, etc.) sont projetées jusqu’en 2040. Les flux au-delà de cette date sont estimés à partir d’une annuité croissante au taux g (0,9 %), jusqu’à une échéance moyenne fixée à 2060.
Un DCF unique avec un seul WACC ne permettrait pas de refléter correctement les différences entre ces activités. Une valorisation par bloc est donc plus adaptée.</t>
  </si>
  <si>
    <t xml:space="preserve">3. Formules et conventions</t>
  </si>
  <si>
    <t xml:space="preserve">Notion</t>
  </si>
  <si>
    <t xml:space="preserve">Formule et explication</t>
  </si>
  <si>
    <t xml:space="preserve">FCFF</t>
  </si>
  <si>
    <t xml:space="preserve">NOPAT + dotations - (capex + loyers) + encaissement de BFR. NOPAT = EBIT × (1 - impôt). Les loyers (IFRS 16) sont déduits du FCFF : la dette de location est donc exclue de la dette nette (8 548 M€) ; elle n’est incluse (9 905 M€) que pour les multiples, appliqués à un EBITDA avant loyers.</t>
  </si>
  <si>
    <t xml:space="preserve">Coût des fonds propres</t>
  </si>
  <si>
    <t xml:space="preserve">CAPM : Ke = Rf + βL × prime de risque.</t>
  </si>
  <si>
    <t xml:space="preserve">Bêta (Hamada)</t>
  </si>
  <si>
    <t xml:space="preserve">βL = βu × (1 + (1 - t) × D/E). Le bêta désendetté βu des comparables est ré-endetté avec la structure financière cible</t>
  </si>
  <si>
    <t xml:space="preserve">WACC</t>
  </si>
  <si>
    <t xml:space="preserve">E/V × Ke + (1 - E/V) × Kd × (1 - t), avec E/V = 1/(1 + D/E) et Kd = taux sans risque + spread de crédit.</t>
  </si>
  <si>
    <t xml:space="preserve">D/E d’Eiffarie (itéré)</t>
  </si>
  <si>
    <t xml:space="preserve">D/E = dette nette / valeur des capitaux propres du DCF, qui dépend elle-même du WACC</t>
  </si>
  <si>
    <t xml:space="preserve">Valeur terminale (Travaux)</t>
  </si>
  <si>
    <t xml:space="preserve">FCFF terminal × (1 + g) / (WACC - g), avec FCFF terminal = NOPAT de la dernière année (capex = dotations, BFR neutre), actualisée au facteur de la dernière année.</t>
  </si>
  <si>
    <t xml:space="preserve">Concession à durée finie</t>
  </si>
  <si>
    <t xml:space="preserve">Aucune valeur terminale. Autres concessions après 2040 : annuité croissante au taux g sur n années, actualisée : FCFF × (1 + g) / (WACC - g) × [1 - ((1 + g)/(1 + WACC))^n].</t>
  </si>
  <si>
    <t xml:space="preserve">De la VE aux capitaux propres</t>
  </si>
  <si>
    <t xml:space="preserve">Valeur d’entreprise - dette nette = capitaux propres à 100 % ; - intérêts minoritaires = part du Groupe. Pour les concessions : capitaux propres = MAX(VE - dette ; 0), car leur dette est sans recours (les actionnaires ne perdent pas plus que leur mise). Ce plancher ne joue pas ici.</t>
  </si>
  <si>
    <t xml:space="preserve">Intérêts minoritaires</t>
  </si>
  <si>
    <t xml:space="preserve">Concessions : (1 - % détenu) × capitaux propres. Travaux : résultat revenant aux minoritaires hors Eiffarie, Adelac et Toulouse × PER de marché (approximation, car le DEU ne détaille que ces trois sociétés).</t>
  </si>
  <si>
    <t xml:space="preserve">Sociétés mises en équivalence (MEE)</t>
  </si>
  <si>
    <t xml:space="preserve">Participations non consolidées ligne à ligne (ex. Getlink 27,66 %). Leur EBITDA n’est pas dans celui du Groupe : on les retire de la VE de marché pour les multiples, et on les ajoute aux capitaux propres du SOTP. Valeur de marché pour Getlink (cotée), valeur comptable pour les autres.</t>
  </si>
  <si>
    <t xml:space="preserve">Coûts de holding</t>
  </si>
  <si>
    <t xml:space="preserve">EBITDA de la holding (-22 M€) capitalisé au multiple VE/EBITDA des Travaux et déduit.</t>
  </si>
  <si>
    <t xml:space="preserve">4. Hypothèses : valeur, justification, source</t>
  </si>
  <si>
    <t xml:space="preserve">Hypothèse</t>
  </si>
  <si>
    <t xml:space="preserve">Valeur</t>
  </si>
  <si>
    <t xml:space="preserve">Justification</t>
  </si>
  <si>
    <t xml:space="preserve">Source / sensibilité</t>
  </si>
  <si>
    <t xml:space="preserve">Taux sans risque</t>
  </si>
  <si>
    <t xml:space="preserve">Rendement de l'OAT 10 ans, lissé sur 9 mois pour atténuer la volatilité du jour.</t>
  </si>
  <si>
    <t xml:space="preserve">Banque de France / AFT.</t>
  </si>
  <si>
    <t xml:space="preserve">Prime de risque du marché</t>
  </si>
  <si>
    <t xml:space="preserve">Prime de risque pays de la France (actions).</t>
  </si>
  <si>
    <t xml:space="preserve">Damodaran, juillet 2026.</t>
  </si>
  <si>
    <t xml:space="preserve">Taux d'impôt Travaux / autres concessions</t>
  </si>
  <si>
    <t xml:space="preserve">Moyenne du taux effectif Eiffage 2021-2023 : plus représentative que l'année 2025 pour les Travaux.</t>
  </si>
  <si>
    <t xml:space="preserve">DEU Eiffage 2021 à 2023.</t>
  </si>
  <si>
    <t xml:space="preserve">Taux d'impôt Eiffarie</t>
  </si>
  <si>
    <t xml:space="preserve">Moyenne 5 ans : taux légal de 25,83 % + surtaxes spécifiques aux sociétés d'autoroutes.</t>
  </si>
  <si>
    <t xml:space="preserve">Comptes APRR.</t>
  </si>
  <si>
    <t xml:space="preserve">βu Travaux</t>
  </si>
  <si>
    <t xml:space="preserve">Bêta désendetté du secteur Engineering/Construction, Europe.</t>
  </si>
  <si>
    <t xml:space="preserve">Damodaran, janv. 2026.</t>
  </si>
  <si>
    <t xml:space="preserve">βu Eiffarie</t>
  </si>
  <si>
    <t xml:space="preserve">Entre Utilities (0,41) et Transportation (0,54) : autoroute française mature, tarifs indexés, trafic stable.</t>
  </si>
  <si>
    <t xml:space="preserve">Damodaran, janv. 2026. Jugement.</t>
  </si>
  <si>
    <t xml:space="preserve">βu autres concessions</t>
  </si>
  <si>
    <t xml:space="preserve">Transportation : plus risqué (trafic international, aéroport, projets récents).</t>
  </si>
  <si>
    <t xml:space="preserve">Damodaran. Jugement.</t>
  </si>
  <si>
    <t xml:space="preserve">D/E Travaux</t>
  </si>
  <si>
    <t xml:space="preserve">Trésorerie nette de 1 528 M€ : pas de dette à rémunérer, donc D/E = 0.</t>
  </si>
  <si>
    <t xml:space="preserve">DEU 2025.</t>
  </si>
  <si>
    <t xml:space="preserve">D/E Eiffarie (itéré)</t>
  </si>
  <si>
    <t xml:space="preserve">Dette nette / capitaux propres du DCF, résolu par itération (contrôle en B14).</t>
  </si>
  <si>
    <t xml:space="preserve">Calcul. Effet faible sur la valeur.</t>
  </si>
  <si>
    <t xml:space="preserve">D/E autres concessions</t>
  </si>
  <si>
    <t xml:space="preserve">Même structure cible qu’Eiffarie : leur D/E observé n’est pas pertinent (dette nette presque égale à la valeur d’entreprise).</t>
  </si>
  <si>
    <t xml:space="preserve">Hypothèse. Passer à 3,0 : +1,5 €/action.</t>
  </si>
  <si>
    <t xml:space="preserve">Spread de crédit Eiffarie</t>
  </si>
  <si>
    <t xml:space="preserve">Kd = Rf + spread : coût de refinancement actuel, et non le coût historique de 1,8 % (vieux emprunts à bas taux). APRR est notée A / A-, donc spread faible.</t>
  </si>
  <si>
    <t xml:space="preserve">Hypothèse. Spread nul : +0,9 €/action.</t>
  </si>
  <si>
    <t xml:space="preserve">Spread de crédit autres concessions</t>
  </si>
  <si>
    <t xml:space="preserve">Concessions non notées, financements de projet : +0,2 pt.</t>
  </si>
  <si>
    <t xml:space="preserve">Hypothèse.</t>
  </si>
  <si>
    <t xml:space="preserve">WACC Travaux</t>
  </si>
  <si>
    <t xml:space="preserve">Calculé (CAPM + Hamada).</t>
  </si>
  <si>
    <t xml:space="preserve">Voir onglet Sensibilité.</t>
  </si>
  <si>
    <t xml:space="preserve">WACC Eiffarie</t>
  </si>
  <si>
    <t xml:space="preserve">Calculé.</t>
  </si>
  <si>
    <t xml:space="preserve">WACC autres concessions</t>
  </si>
  <si>
    <t xml:space="preserve">Marge d’EBITDA Travaux</t>
  </si>
  <si>
    <t xml:space="preserve">Prudente : inférieure au réel 2024 (7,1 %) et 2025 (8,2 %), en raison de la cyclicité du secteur (calculés dans « Données »).</t>
  </si>
  <si>
    <t xml:space="preserve">Hypothèse. Passer à 6,0 % : −14 €/action.</t>
  </si>
  <si>
    <t xml:space="preserve">Croissance du CA Travaux 2026-2030</t>
  </si>
  <si>
    <t xml:space="preserve">Croissance attendue du CA sur 5 ans du secteur, plus prudente que la croissance historique d’Eiffage (≈ 8 %/an sur 2021-2025 pour le CA du Groupe).</t>
  </si>
  <si>
    <t xml:space="preserve">Croissance à l’infini g (Travaux)</t>
  </si>
  <si>
    <t xml:space="preserve">Inférieure à l’inflation : prudence sur la valeur terminale (69 % de la valeur des Travaux).</t>
  </si>
  <si>
    <t xml:space="preserve">Grille WACC × g.</t>
  </si>
  <si>
    <t xml:space="preserve">Dotations / CA Travaux</t>
  </si>
  <si>
    <t xml:space="preserve">Taux réel 2025 : (68 + 455 + 257) / CA.</t>
  </si>
  <si>
    <t xml:space="preserve">DEU 2025, note 4.1.</t>
  </si>
  <si>
    <t xml:space="preserve">Capex + loyers / CA Travaux</t>
  </si>
  <si>
    <t xml:space="preserve">Entre la borne basse (égale aux dotations) et la borne haute (investissements nets + loyers du Groupe, hors APRR) calculées dans « Données ».</t>
  </si>
  <si>
    <t xml:space="preserve">BFR encaissé / hausse du CA (Travaux)</t>
  </si>
  <si>
    <t xml:space="preserve">BFR structurellement négatif dans la construction (clients payent avant les fournisseurs). Observé 2025 sur le Groupe : 13,7 %.</t>
  </si>
  <si>
    <t xml:space="preserve">DEU 2025, tableau des flux. Une seule année.</t>
  </si>
  <si>
    <t xml:space="preserve">Marge d’EBITDA Eiffarie</t>
  </si>
  <si>
    <t xml:space="preserve">Marge réelle du groupe APRR consolidé, qui regroupe APRR, AREA et Aliaé, soit exactement le périmètre de Financière Eiffarie.</t>
  </si>
  <si>
    <t xml:space="preserve">Comptes APRR 2025.</t>
  </si>
  <si>
    <t xml:space="preserve">Dotations / CA Eiffarie</t>
  </si>
  <si>
    <t xml:space="preserve">Réel APRR (613,5 / CA). Les 951 M€ du DEU incluent des amortissements d’acquisition non déductibles et ne sont pas utilisés.</t>
  </si>
  <si>
    <t xml:space="preserve">Capex + loyers / CA Eiffarie</t>
  </si>
  <si>
    <t xml:space="preserve">Réel APRR : (261,7 + loyers 5,4) / CA.</t>
  </si>
  <si>
    <t xml:space="preserve">Croissance du CA Eiffarie et autres</t>
  </si>
  <si>
    <t xml:space="preserve">Indexation tarifaire (≈ inflation) + croissance modérée du trafic.</t>
  </si>
  <si>
    <t xml:space="preserve">Marge d’EBITDA autres concessions</t>
  </si>
  <si>
    <t xml:space="preserve">Marge observée 2025 du résiduel : (EBITDA Concessions 2 663 - EBITDA Eiffarie) / (CA Concessions 3 978 - CA Eiffarie), maintenue constante.</t>
  </si>
  <si>
    <t xml:space="preserve">Croissance après 2040 (autres)</t>
  </si>
  <si>
    <t xml:space="preserve">Prudence en fin de vie des concessions.</t>
  </si>
  <si>
    <t xml:space="preserve">Échéance moyenne (autres)</t>
  </si>
  <si>
    <t xml:space="preserve">Moyenne indicative : A’liénor 2066, Adelac 2060, Millau 2079, Sénégal 2044.</t>
  </si>
  <si>
    <t xml:space="preserve">Contrats de concession.</t>
  </si>
  <si>
    <t xml:space="preserve">% détenu Financière Eiffarie</t>
  </si>
  <si>
    <t xml:space="preserve">Les minoritaires détiennent 47,5 %.</t>
  </si>
  <si>
    <t xml:space="preserve">DEU 2025, note 7.2.</t>
  </si>
  <si>
    <t xml:space="preserve">% détenu autres concessions</t>
  </si>
  <si>
    <t xml:space="preserve">Simplification : portefeuille de participations de 100 %, ~50 % et 49,99 %.</t>
  </si>
  <si>
    <t xml:space="preserve">5. Résultats</t>
  </si>
  <si>
    <t xml:space="preserve">Indicateur</t>
  </si>
  <si>
    <t xml:space="preserve">Commentaire</t>
  </si>
  <si>
    <t xml:space="preserve">VE Travaux (M€)</t>
  </si>
  <si>
    <t xml:space="preserve">Dont valeur terminale = 69 %.</t>
  </si>
  <si>
    <t xml:space="preserve">VE Financière Eiffarie (M€)</t>
  </si>
  <si>
    <t xml:space="preserve">Jusqu’à l’échéance, sans valeur terminale.</t>
  </si>
  <si>
    <t xml:space="preserve">VE autres concessions (M€)</t>
  </si>
  <si>
    <t xml:space="preserve">Explicite jusqu’en 2040, puis annuité jusqu’en 2060.</t>
  </si>
  <si>
    <t xml:space="preserve">Valeur des capitaux propres part du Groupe (M€)</t>
  </si>
  <si>
    <t xml:space="preserve">Valeur par action (€)</t>
  </si>
  <si>
    <t xml:space="preserve">Scénario central.</t>
  </si>
  <si>
    <t xml:space="preserve">Cours (€)</t>
  </si>
  <si>
    <t xml:space="preserve">Écart valeur / cours</t>
  </si>
  <si>
    <t xml:space="preserve">SOTP : bas de fourchette (€)</t>
  </si>
  <si>
    <t xml:space="preserve">WACC +0,3 pt et g −0,3 pt.</t>
  </si>
  <si>
    <t xml:space="preserve">SOTP : haut de fourchette (€)</t>
  </si>
  <si>
    <t xml:space="preserve">WACC −0,3 pt et g +0,3 pt.</t>
  </si>
  <si>
    <t xml:space="preserve">VE/EBITDA : Q1 – Q3 des pairs (€)</t>
  </si>
  <si>
    <t xml:space="preserve">Fourchette très large : pairs hétérogènes, Hochtief (12,6x) tire la borne haute.</t>
  </si>
  <si>
    <t xml:space="preserve">PER : Q1 – Q3 des pairs (€)</t>
  </si>
  <si>
    <t xml:space="preserve">6. Lecture de l'écart avec le cours et les analystes</t>
  </si>
  <si>
    <t xml:space="preserve">La valeur centrale du SOTP (177,8 €) dépasse le cours (98,7 €) de 80 %. Elle se situe dans le haut de la fourchette des analystes (145-180 €) et dans la zone des multiples de pairs (129 à 169 € au point médian selon l’agrégat). Quatre lectures complémentaires expliquent l’écart avec le cours.
(1) Ce que le cours valorise : en conservant nos valeurs pour les concessions (3,1 et 1,7 Md€ part du Groupe) et pour Getlink (3,1 Md€), le cours ne valorise les Travaux qu’à environ 1,6 Md€ de capitaux propres (valeur d’entreprise ≈ 0,3x l’EBITDA), contre 9,1 Md€ dans le DCF (4,6x).
(2) Les décotes absentes du DCF : retour des concessions APRR à l’État sans indemnité en 2035-2036, risque politique et fiscal sur les autoroutes (taxation, gel tarifaire), décote de conglomérat / holding que les marchés appliquent souvent aux SOTP (10 à 30 %).
(3) La sensibilité aux Travaux : leur valeur terminale pèse 69 % de leur valeur. Avec une marge d’EBITDA de 6,0 % au lieu de 6,5 %, la valeur par action passe à 164 € ; avec en plus un WACC majoré d’un point sur les trois blocs, elle passe à 147 €.
(4) Une décote observée : Eiffage se paie 4,6x l’EBITDA et 9,2x le résultat, contre des médianes de pairs de 6,1x et 13,6x.
Conclusion : même dans ce scénario prudent (147 €), la valeur reste environ 50 % au-dessus du cours. Le DCF ne prouve pas que le marché se trompe : il montre que le cours n’est cohérent avec nos hypothèses que si le marché applique des décotes importantes aux concessions ou aux Travaux.</t>
  </si>
  <si>
    <t xml:space="preserve">7. Limites et points d’attention</t>
  </si>
  <si>
    <t xml:space="preserve">• Hypothèses de jugement non observables : spreads de crédit, % de détention des autres concessions, structure financière cible, croissance des concessions, capex des Travaux. Leur effet est chiffré dans la colonne « Source / sensibilité » et dans l’onglet Sensibilité.</t>
  </si>
  <si>
    <t xml:space="preserve">• Minoritaires des Travaux estimés par résidu (445 - 391 - 9 + 4) × PER de marché : approximation, le DEU ne détaillant que trois sociétés.</t>
  </si>
  <si>
    <t xml:space="preserve">• Cours, capitalisation de Getlink et données de marché des pairs à actualiser à la date de consultation ; l’EBITDA de Skanska provient d’un agrégateur (non publié) ; le nombre d’actions de Hochtief est déduit du BPA nominal ; Hochtief est retenu comme 5e pair mais ses multiples élevés (Abertis en MEE à la valeur comptable) tirent la borne haute ; Ferrovial est exclu des statistiques (EBITDA ajusté hors MEE).</t>
  </si>
  <si>
    <t xml:space="preserve">• La fourchette des analystes est indicative (consensus Idéal investisseur) ; les objectifs individuels ne sont pas reproduits.</t>
  </si>
  <si>
    <t xml:space="preserve">DONNEES, SOURCES : DOCUMENTS OFFICIELS</t>
  </si>
  <si>
    <t xml:space="preserve">à noter que APRR est utilisé pour désigner FINANCIERE EIFFARIE détenu à 52,5% par le groupe et constitué de APRR, AREA et Aliaé</t>
  </si>
  <si>
    <t xml:space="preserve">Donnée</t>
  </si>
  <si>
    <t xml:space="preserve">Source</t>
  </si>
  <si>
    <t xml:space="preserve">DEU 2025 note 4.1 (information sectorielle) : résultat opérationnel courant (ROC)</t>
  </si>
  <si>
    <t xml:space="preserve">ROC Construction</t>
  </si>
  <si>
    <t xml:space="preserve">DEU 2025, note 4.1, tableau « Par secteur d’activité »</t>
  </si>
  <si>
    <t xml:space="preserve">ROC Infrastructures</t>
  </si>
  <si>
    <t xml:space="preserve">idem</t>
  </si>
  <si>
    <t xml:space="preserve">ROC Énergie Systèmes</t>
  </si>
  <si>
    <t xml:space="preserve">ROC Concessions</t>
  </si>
  <si>
    <t xml:space="preserve">ROC Holding</t>
  </si>
  <si>
    <t xml:space="preserve">ROC Groupe</t>
  </si>
  <si>
    <t xml:space="preserve">Calcul pour contrôle</t>
  </si>
  <si>
    <t xml:space="preserve">DEU 2025 note 4.1 : dotations aux amortissements et provisions (valeurs positives)</t>
  </si>
  <si>
    <t xml:space="preserve">Dotations Construction</t>
  </si>
  <si>
    <t xml:space="preserve">DEU 2025, note 4.1, ligne « Dont dotations aux amort. et aux provisions »</t>
  </si>
  <si>
    <t xml:space="preserve">Dotations Infrastructures</t>
  </si>
  <si>
    <t xml:space="preserve">Dotations Énergie Systèmes</t>
  </si>
  <si>
    <t xml:space="preserve">Dotations Concessions</t>
  </si>
  <si>
    <t xml:space="preserve">idem (inclut les amortissements liés à l’acquisition d’APRR)</t>
  </si>
  <si>
    <t xml:space="preserve">Dotations Holding</t>
  </si>
  <si>
    <t xml:space="preserve">Dotations Groupe</t>
  </si>
  <si>
    <t xml:space="preserve">EBITDA Groupe = ROC + dotations</t>
  </si>
  <si>
    <t xml:space="preserve">Résultat opérationnel Groupe (EBIT)</t>
  </si>
  <si>
    <t xml:space="preserve">DEU 2025, compte de résultat consolidé</t>
  </si>
  <si>
    <t xml:space="preserve">DEU 2025 chiffre d’affaires hors IFRIC 12 (note 5.1)</t>
  </si>
  <si>
    <t xml:space="preserve">CA Construction</t>
  </si>
  <si>
    <t xml:space="preserve">DEU 2025, note 5.1</t>
  </si>
  <si>
    <t xml:space="preserve">CA Infrastructures</t>
  </si>
  <si>
    <t xml:space="preserve">CA Énergie Systèmes</t>
  </si>
  <si>
    <t xml:space="preserve">CA Travaux</t>
  </si>
  <si>
    <t xml:space="preserve">CA Concessions</t>
  </si>
  <si>
    <t xml:space="preserve">DEU 2025, note 5.1 (hors IFRIC 12)</t>
  </si>
  <si>
    <t xml:space="preserve">CA Groupe</t>
  </si>
  <si>
    <t xml:space="preserve">CA APRR-AREA publié dans le DEU</t>
  </si>
  <si>
    <t xml:space="preserve">DEU 2025, note 5.1, ligne APRR-AREA</t>
  </si>
  <si>
    <t xml:space="preserve">CA Aliaé</t>
  </si>
  <si>
    <t xml:space="preserve">DEU 2025, p.225</t>
  </si>
  <si>
    <t xml:space="preserve">DEU 2025 dette nette, intérêts minoritaires, MEE, actions</t>
  </si>
  <si>
    <t xml:space="preserve">Passifs financiers Financière Eiffarie</t>
  </si>
  <si>
    <t xml:space="preserve">DEU 2025, note 7.2</t>
  </si>
  <si>
    <t xml:space="preserve">Trésorerie Financière Eiffarie</t>
  </si>
  <si>
    <t xml:space="preserve">Dette financière nette de TOUTES les concessions (hors loyers)</t>
  </si>
  <si>
    <t xml:space="preserve">DEU 2025, rapport de gestion</t>
  </si>
  <si>
    <t xml:space="preserve">Dette nette Travaux (négatif donc trésorerie nette)</t>
  </si>
  <si>
    <t xml:space="preserve">DEU 2025 (« 1 528 millions d’euros de trésorerie positive nette »)</t>
  </si>
  <si>
    <t xml:space="preserve">Dette nette Groupe y compris dettes de location (IFRS 16)</t>
  </si>
  <si>
    <t xml:space="preserve">DEU 2025</t>
  </si>
  <si>
    <t xml:space="preserve">Résultat net revenant aux minoritaires (Groupe)</t>
  </si>
  <si>
    <t xml:space="preserve">dont Financière Eiffarie</t>
  </si>
  <si>
    <t xml:space="preserve">DEU 2025, note 7.2 (tableau « Informations financières à 100 % résumées »)</t>
  </si>
  <si>
    <t xml:space="preserve">dont Adelac</t>
  </si>
  <si>
    <t xml:space="preserve">dont Toulouse-Blagnac</t>
  </si>
  <si>
    <t xml:space="preserve">% détenu par les minoritaires dans Financière Eiffarie</t>
  </si>
  <si>
    <t xml:space="preserve">DEU 2025, note 7.2 vs pourcentage Eiffarie = 52,5%</t>
  </si>
  <si>
    <t xml:space="preserve">% de Getlink détenu par Eiffage</t>
  </si>
  <si>
    <t xml:space="preserve">DEU 2025, note 6.3</t>
  </si>
  <si>
    <t xml:space="preserve">Capitalisation boursière Getlink (M€)</t>
  </si>
  <si>
    <t xml:space="preserve">Capitalisation boursière Getlink (cours de bourse)</t>
  </si>
  <si>
    <t xml:space="preserve">Participations MEE au bilan (total)</t>
  </si>
  <si>
    <t xml:space="preserve">DEU 2025, bilan consolidé / note 6.3</t>
  </si>
  <si>
    <t xml:space="preserve">dont Getlink (valeur comptable)</t>
  </si>
  <si>
    <t xml:space="preserve">Nombre d’actions émises</t>
  </si>
  <si>
    <t xml:space="preserve">Actions d’autocontrôle</t>
  </si>
  <si>
    <t xml:space="preserve">BPA dilué 2025 (€)</t>
  </si>
  <si>
    <t xml:space="preserve">DEU 2025, note 7.4</t>
  </si>
  <si>
    <t xml:space="preserve">DEU 2025 / 2024 – pour justifier les hypothèses Travaux</t>
  </si>
  <si>
    <t xml:space="preserve">CA Travaux 2024</t>
  </si>
  <si>
    <t xml:space="preserve">DEU 2025, note 5.1 (2024)</t>
  </si>
  <si>
    <t xml:space="preserve">ROC Travaux 2024 (Construction 142 + Infra 278 + Énergie 420)</t>
  </si>
  <si>
    <t xml:space="preserve">DEU 2025, note 4.2 (2024)</t>
  </si>
  <si>
    <t xml:space="preserve">Dotations Travaux 2024 (59 + 311 + 180)</t>
  </si>
  <si>
    <t xml:space="preserve">Investissements opérationnels nets Groupe 2025</t>
  </si>
  <si>
    <t xml:space="preserve">DEU 2025, tableau des flux de trésorerie</t>
  </si>
  <si>
    <t xml:space="preserve">Remboursement des dettes de location Groupe 2025</t>
  </si>
  <si>
    <t xml:space="preserve">Variation du BFR Groupe 2025 (négatif donc encaissement)</t>
  </si>
  <si>
    <t xml:space="preserve">DEU 2025, tableau des flux de trésorerie / note 6.6</t>
  </si>
  <si>
    <t xml:space="preserve">CA Groupe 2024 (hors IFRIC 12)</t>
  </si>
  <si>
    <t xml:space="preserve">Comptes consolidés APRR 2025 (APRR + AREA + Aliaé = Financière Eiffarie)</t>
  </si>
  <si>
    <t xml:space="preserve">CA d’exploitation APRR consolidé (hors construction IFRIC 12)</t>
  </si>
  <si>
    <t xml:space="preserve">APRR, comptes consolidés 2025, note 15</t>
  </si>
  <si>
    <t xml:space="preserve">EBITDA APRR consolidé</t>
  </si>
  <si>
    <t xml:space="preserve">APRR, comptes consolidés 2025, rapport de gestion (marge 70,4 %)</t>
  </si>
  <si>
    <t xml:space="preserve">Dotations aux amortissements APRR</t>
  </si>
  <si>
    <t xml:space="preserve">APRR, compte de résultat 2025 / note 19</t>
  </si>
  <si>
    <t xml:space="preserve">Investissements APRR (acquisitions d’immobilisations)</t>
  </si>
  <si>
    <t xml:space="preserve">APRR, tableau des flux 2025</t>
  </si>
  <si>
    <t xml:space="preserve">Amortissement des actifs loués APRR</t>
  </si>
  <si>
    <t xml:space="preserve">APRR, note 19</t>
  </si>
  <si>
    <t xml:space="preserve">Charges financières brutes APRR</t>
  </si>
  <si>
    <t xml:space="preserve">APRR, compte de résultat 2025</t>
  </si>
  <si>
    <t xml:space="preserve">Données calculées</t>
  </si>
  <si>
    <t xml:space="preserve">Marge d’EBITDA Travaux 2025</t>
  </si>
  <si>
    <t xml:space="preserve">(ROC + dotations Travaux) / CA Travaux</t>
  </si>
  <si>
    <t xml:space="preserve">Marge d’EBITDA Travaux 2024</t>
  </si>
  <si>
    <t xml:space="preserve">Capex + loyers Travaux : borne basse (= dotations / CA)</t>
  </si>
  <si>
    <t xml:space="preserve">Si les investissements ne font que remplacer ce qui s’use</t>
  </si>
  <si>
    <t xml:space="preserve">Capex + loyers Travaux : borne haute</t>
  </si>
  <si>
    <t xml:space="preserve">(Investissements nets + loyers du Groupe) -  ceux d’APRR, / CA Travaux. Surestimé car contient aussi les autres concessions et la holding</t>
  </si>
  <si>
    <t xml:space="preserve">BFR encaissé / hausse du CA Groupe 2025</t>
  </si>
  <si>
    <t xml:space="preserve">259 / (25 313 - 23 429)</t>
  </si>
  <si>
    <t xml:space="preserve">EBITDA Concessions = ROC + dotations</t>
  </si>
  <si>
    <t xml:space="preserve">1 712 + 951</t>
  </si>
  <si>
    <t xml:space="preserve">Marge d’EBITDA APRR consolidé</t>
  </si>
  <si>
    <t xml:space="preserve">comptes APRR </t>
  </si>
  <si>
    <t xml:space="preserve">Dotations APRR / CA</t>
  </si>
  <si>
    <t xml:space="preserve">Taux observé, réel</t>
  </si>
  <si>
    <t xml:space="preserve">Capex + loyers APRR / CA</t>
  </si>
  <si>
    <t xml:space="preserve">Coût historique de la dette APRR</t>
  </si>
  <si>
    <t xml:space="preserve">Charges financières brutes / dette brute moyenne =&gt; taux historique</t>
  </si>
  <si>
    <t xml:space="preserve">Dette financière brute moyenne APRR (2024-2025)</t>
  </si>
  <si>
    <t xml:space="preserve">APRR, comptes 2025, « Total financial liabilities » : 8 064,5 (2025) et 8 675,5 (2024)</t>
  </si>
  <si>
    <t xml:space="preserve">Hypothèses communes</t>
  </si>
  <si>
    <t xml:space="preserve">Bleu = donnée saisie / hypothèse ; noir = formule ; vert = lien vers un autre onglet</t>
  </si>
  <si>
    <t xml:space="preserve">M€ sauf mention et Base 2025</t>
  </si>
  <si>
    <t xml:space="preserve">HYPOTHESES ET INPUTS</t>
  </si>
  <si>
    <t xml:space="preserve">Taux sans risque (Rf)</t>
  </si>
  <si>
    <t xml:space="preserve">OAT 10 ans, moyenne sur 9 mois</t>
  </si>
  <si>
    <t xml:space="preserve">Damodaran, juillet 2026, France </t>
  </si>
  <si>
    <t xml:space="preserve">Taux d'impôt (Travaux et autres concessions)</t>
  </si>
  <si>
    <t xml:space="preserve">Moyenne du taux d'impôt effectif Eiffage 2021-2023 (DEU), représentative de la charge d'impôt des Travaux</t>
  </si>
  <si>
    <t xml:space="preserve">Taux d'impôt Financière Eiffarie</t>
  </si>
  <si>
    <t xml:space="preserve">Moyenne 5 ans (taux légal 25,83 % + surtaxes)</t>
  </si>
  <si>
    <t xml:space="preserve">Boursorama, 09/10/2026</t>
  </si>
  <si>
    <t xml:space="preserve">Nombre d'actions (millions)</t>
  </si>
  <si>
    <t xml:space="preserve">98 000 000 - 2 918 256 d'autocontrôle</t>
  </si>
  <si>
    <t xml:space="preserve">Capitalisation (M€)</t>
  </si>
  <si>
    <t xml:space="preserve">Résultat net part du Groupe / nombre moyen d'actions APRÈS dilution (actions gratuites). DEU 2025 note 7.4</t>
  </si>
  <si>
    <t xml:space="preserve">PER de marché</t>
  </si>
  <si>
    <t xml:space="preserve">Dette nette Travaux (trésorerie nette = négatif)</t>
  </si>
  <si>
    <t xml:space="preserve">DEU 2025, rapport de gestion : trésorerie nette hors concessions (1 528 M€)</t>
  </si>
  <si>
    <t xml:space="preserve">Dette nette Financière Eiffarie</t>
  </si>
  <si>
    <t xml:space="preserve">DEU 2025 note 7.2 : passifs financiers 8 965 - trésorerie 1 834</t>
  </si>
  <si>
    <t xml:space="preserve">Dette nette autres concessions</t>
  </si>
  <si>
    <t xml:space="preserve">Dette nette de toutes les concessions (10 076, DEU) - Eiffarie = résiduel</t>
  </si>
  <si>
    <t xml:space="preserve">% de détention Financière Eiffarie</t>
  </si>
  <si>
    <t xml:space="preserve">DEU 2025 : 52,5 % de Financière Eiffarie</t>
  </si>
  <si>
    <t xml:space="preserve">% de détention autres concessions</t>
  </si>
  <si>
    <t xml:space="preserve">Hypothèse simplificatrice : portefeuille mêlant plusieurs participations de 100 %, et certaines autour de 50 %</t>
  </si>
  <si>
    <t xml:space="preserve">Résultat des minoritaires hors concessions (Travaux)</t>
  </si>
  <si>
    <t xml:space="preserve">445 - 391 (Eiffarie) - 9 (Adelac) - (-4) (Toulouse), DEU note 7.2. Approximation : le DEU ne détaille que ces trois sociétés ainsi le résidu contient possiblement d'autres minoritaires</t>
  </si>
  <si>
    <t xml:space="preserve">Participations MEE (Getlink au marché)</t>
  </si>
  <si>
    <t xml:space="preserve">Getlink coté : 27,66 % × capitalisation (valeur de marché) ; autres MEE non cotées (243 M€) : valeur comptable</t>
  </si>
  <si>
    <t xml:space="preserve">EBITDA holding 2025</t>
  </si>
  <si>
    <t xml:space="preserve">DEU 2025 note 4 : ROC holding - 82 + dotations 60</t>
  </si>
  <si>
    <t xml:space="preserve">Spread de crédit (Kd = Rf + spread)</t>
  </si>
  <si>
    <t xml:space="preserve">Spread Travaux</t>
  </si>
  <si>
    <t xml:space="preserve">Sans impact car D/E = 0 (trésorerie nette)</t>
  </si>
  <si>
    <t xml:space="preserve">Spread Financière Eiffarie</t>
  </si>
  <si>
    <t xml:space="preserve">Hypothèse : APRR est notée A (Fitch) / A- (S&amp;P) (DEU 2025), donc écart faible au taux sans risque. Impact limité : ±0,5 pt sur les spreads = ±2 €/action (≈1 %)</t>
  </si>
  <si>
    <t xml:space="preserve">Spread autres concessions</t>
  </si>
  <si>
    <t xml:space="preserve">Hypothèse : concessions non notées, soit +0,2 pt par rapport à Eiffarie. Impact limité : ±0,5 pt = ±2 €/action (≈1 %)</t>
  </si>
  <si>
    <t xml:space="preserve">M€</t>
  </si>
  <si>
    <t xml:space="preserve">Travaux</t>
  </si>
  <si>
    <t xml:space="preserve">Eiffarie (APRR-AREA-Aliaé)</t>
  </si>
  <si>
    <t xml:space="preserve">Autres concessions</t>
  </si>
  <si>
    <t xml:space="preserve">Total</t>
  </si>
  <si>
    <t xml:space="preserve">EBITDA 2025</t>
  </si>
  <si>
    <t xml:space="preserve">Valeur d'entreprise (DCF)</t>
  </si>
  <si>
    <t xml:space="preserve">VE / EBITDA 2025</t>
  </si>
  <si>
    <t xml:space="preserve">– Dette nette de la partie</t>
  </si>
  <si>
    <t xml:space="preserve">Valeur des capitaux propres à 100 %</t>
  </si>
  <si>
    <t xml:space="preserve">% détenu par Eiffage</t>
  </si>
  <si>
    <t xml:space="preserve">– Intérêts minoritaires</t>
  </si>
  <si>
    <t xml:space="preserve">Travaux : résultat des minoritaires × PER de marché ; concessions : (1 -  % détenu) × capitaux propres</t>
  </si>
  <si>
    <t xml:space="preserve">Valeur part du Groupe</t>
  </si>
  <si>
    <t xml:space="preserve">Plancher à 0 pour les concessions : dette sans recours (les actionnaires ne perdent pas plus que leur mise)</t>
  </si>
  <si>
    <t xml:space="preserve">+ Participations mises en équivalence (Getlink au marché)</t>
  </si>
  <si>
    <t xml:space="preserve">– Coûts de holding capitalisés (au multiple des Travaux)</t>
  </si>
  <si>
    <t xml:space="preserve">Valeur des capitaux propres part du Groupe</t>
  </si>
  <si>
    <t xml:space="preserve">VALEUR PAR ACTION (€)</t>
  </si>
  <si>
    <t xml:space="preserve">justification de l'écart</t>
  </si>
  <si>
    <t xml:space="preserve">Valeur SOTP 177,8 € vs cours 98,7 € (+80 %) : dans le haut de la fourchette des analystes (145-180 €) et dans la zone des multiples de pairs (129 à 169 € au point médian selon la méthode). Lecture inverse : en gardant nos valeurs pour les concessions (3,1 + 1,7 Md€ part du Groupe) et pour Getlink (3,1 Md€), le cours ne valorise les Travaux qu'à ≈ 1,6 Md€ de capitaux propres (VE ≈ 0,3x l'EBITDA) contre 9,1 Md€ ici. Le marché applique donc sans doute des décotes : concessions APRR rendues à l'État en 2035-2036 sans indemnité, risque fiscal et tarifaire sur les autoroutes, décote de holding. Côté modèle : 69 % de la valeur des Travaux est en valeur terminale ; la valeur reste entre 157 et 207 € pour un WACC ±0,9 pt et g de 0,3 à 1,5 %. Point de vigilance : VE/EBITDA des autres concessions de 12,8x (marge 51 %, capex = APRR).</t>
  </si>
  <si>
    <t xml:space="preserve">CONTRÔLES</t>
  </si>
  <si>
    <t xml:space="preserve">Attendu</t>
  </si>
  <si>
    <t xml:space="preserve">Σ dette nette des parties vs dette nette retraitée du groupe</t>
  </si>
  <si>
    <t xml:space="preserve">Σ EBITDA des parties vs EBITDA groupe − holding</t>
  </si>
  <si>
    <t xml:space="preserve">Σ CA des parties vs CA groupe − holding</t>
  </si>
  <si>
    <t xml:space="preserve">Poids de la VE : Travaux / Eiffarie / Autres</t>
  </si>
  <si>
    <t xml:space="preserve">Football field | valeur par action (€)</t>
  </si>
  <si>
    <t xml:space="preserve">Source du graphique : le tableau ci-dessous. La barre va de « Bas » à « Haut » (la partie invisible vaut « Bas », la partie colorée vaut « Écart »). </t>
  </si>
  <si>
    <t xml:space="preserve">Les lignes SOTP viennent de l'onglet Sensibilité, les multiples de l'onglet Multiples.</t>
  </si>
  <si>
    <t xml:space="preserve">Méthode</t>
  </si>
  <si>
    <t xml:space="preserve">Bas</t>
  </si>
  <si>
    <t xml:space="preserve">Haut</t>
  </si>
  <si>
    <t xml:space="preserve">Écart (graphique)</t>
  </si>
  <si>
    <t xml:space="preserve">Point central</t>
  </si>
  <si>
    <t xml:space="preserve">SOTP DCF (WACC ±0,3 pt ; g ±0,3 pt)</t>
  </si>
  <si>
    <t xml:space="preserve">VE / EBITDA (Q1 à Q3 des pairs)</t>
  </si>
  <si>
    <t xml:space="preserve">VE / EBIT (Q1 à Q3 des pairs)</t>
  </si>
  <si>
    <t xml:space="preserve">PER (Q1 à Q3 des pairs)</t>
  </si>
  <si>
    <t xml:space="preserve">Objectifs des analystes (fourchette resserrée)</t>
  </si>
  <si>
    <t xml:space="preserve">Cours actuel</t>
  </si>
  <si>
    <t xml:space="preserve">Objectifs des analystes : fourchette resserrée 145-180 €, médiane 159 € (consensus Ideal Investisseurs à titre indicatif au 09/10/2026). Le cours est tracé comme une barre fine d'environ 1 € à titre représentatif.</t>
  </si>
  <si>
    <t xml:space="preserve">Sensibilité de la valeur par action au WACC ET à la croissance à l’infini g</t>
  </si>
  <si>
    <t xml:space="preserve">Chaque case de la grille = valeur par action si on décale le WACC des trois blocs (ligne) ET la croissance à l'infini g des Travaux (colonne). Les cases du milieu = scénario central</t>
  </si>
  <si>
    <t xml:space="preserve">Décalage de WACC (appliqué aux 3 blocs)</t>
  </si>
  <si>
    <t xml:space="preserve">Σ FCFF actualisés Travaux (2026-2030)</t>
  </si>
  <si>
    <t xml:space="preserve">VE Eiffarie</t>
  </si>
  <si>
    <t xml:space="preserve">Σ FCFF actualisés autres (2026-2040)</t>
  </si>
  <si>
    <t xml:space="preserve">Annuité actualisée après 2040 (autres)</t>
  </si>
  <si>
    <t xml:space="preserve">VE autres concessions</t>
  </si>
  <si>
    <t xml:space="preserve">Eiffarie, part du Groupe</t>
  </si>
  <si>
    <t xml:space="preserve">Autres concessions, part du Groupe</t>
  </si>
  <si>
    <t xml:space="preserve">GRILLE : valeur par action (€) – lignes = décalage du WACC ; colonnes = g des Travaux</t>
  </si>
  <si>
    <t xml:space="preserve">Décalage de g</t>
  </si>
  <si>
    <t xml:space="preserve">Décalage WACC ↓  /  g Travaux →</t>
  </si>
  <si>
    <t xml:space="preserve">Contrôle avec valeur du SOTP!E17</t>
  </si>
  <si>
    <t xml:space="preserve">g n’agit que sur la valeur terminale des Travaux : les concessions ont une durée finie, elles n’ont pas de g à l’infini.</t>
  </si>
  <si>
    <t xml:space="preserve">Fourchette retenue pour le football field : de (WACC +0,3 pt ; g −0,3 pt) à (WACC −0,3 pt ; g +0,3 pt).</t>
  </si>
  <si>
    <t xml:space="preserve">Travaux (Construction, Infrastructures, Énergie Systèmes) </t>
  </si>
  <si>
    <t xml:space="preserve">COÛT DU CAPITAL</t>
  </si>
  <si>
    <t xml:space="preserve">Bêta désendetté (βu)</t>
  </si>
  <si>
    <t xml:space="preserve">Damodaran Europe, Engineering/Construction, janv. 2026</t>
  </si>
  <si>
    <t xml:space="preserve">D/E cible</t>
  </si>
  <si>
    <t xml:space="preserve">Trésorerie nette de 1 528 M€ : dette nette nulle</t>
  </si>
  <si>
    <t xml:space="preserve">Taux d'impôt</t>
  </si>
  <si>
    <t xml:space="preserve">Bêta réendetté</t>
  </si>
  <si>
    <t xml:space="preserve">Formule d'Hamada : βL = βu × (1 + (1 - t) × D/E)</t>
  </si>
  <si>
    <t xml:space="preserve">Prime de risque du marché (ERP)</t>
  </si>
  <si>
    <t xml:space="preserve">Coût des capitaux propres (Ke)</t>
  </si>
  <si>
    <t xml:space="preserve">Formule du MEDAF</t>
  </si>
  <si>
    <t xml:space="preserve">Coût de la dette avant impôt (Kd)</t>
  </si>
  <si>
    <t xml:space="preserve">Rf + spread (Hypothèse sans impact car D/E = 0)</t>
  </si>
  <si>
    <t xml:space="preserve">E/V</t>
  </si>
  <si>
    <t xml:space="preserve">HYPOTHESES</t>
  </si>
  <si>
    <t xml:space="preserve">CA 2025</t>
  </si>
  <si>
    <t xml:space="preserve">DEU 2025 note 5.1 : CA Travaux publié</t>
  </si>
  <si>
    <t xml:space="preserve">Marge d'EBITDA</t>
  </si>
  <si>
    <t xml:space="preserve">Hypothèse prudente (6,5 %), inférieure à la marge réelle 2024 (7,1 %) et 2025 (8,2 %) : prudence liée à l'économie du secteur (construction cyclique, marges fines)</t>
  </si>
  <si>
    <t xml:space="preserve">Dotations (% du CA)</t>
  </si>
  <si>
    <t xml:space="preserve">Réel 2025 : (68 + 455 + 257) / CA Travaux, DEU 2025 note 4.1</t>
  </si>
  <si>
    <t xml:space="preserve">Capex + loyers (% du CA)</t>
  </si>
  <si>
    <t xml:space="preserve">Hypothèse : au-dessus des dotations (3,7%) car l'activité croît mais tout de même en dessous de la borne haute (5,1%)</t>
  </si>
  <si>
    <t xml:space="preserve">BFR encaissé (% de la hausse du CA)</t>
  </si>
  <si>
    <t xml:space="preserve">Hypothèse : Travaux a un BFR négatif (clients payent avant que Eiffage ne paye les fournisseurs). Prudente, 2025 au niveau Groupe :13,7% </t>
  </si>
  <si>
    <t xml:space="preserve">EBITDA 2025 (réel)</t>
  </si>
  <si>
    <t xml:space="preserve">Réel 2025 : ROC + dotations des trois branches (DEU 2025, note 4.1)</t>
  </si>
  <si>
    <t xml:space="preserve">Chiffre d'affaires</t>
  </si>
  <si>
    <t xml:space="preserve">Croissance (Damodaran, Engineering/Construction Europe de l'Ouest, 5 ans : 4,96 %)</t>
  </si>
  <si>
    <t xml:space="preserve">EBITDA</t>
  </si>
  <si>
    <t xml:space="preserve">– Dotations</t>
  </si>
  <si>
    <t xml:space="preserve">EBIT</t>
  </si>
  <si>
    <t xml:space="preserve">– Impôt</t>
  </si>
  <si>
    <t xml:space="preserve">NOPAT</t>
  </si>
  <si>
    <t xml:space="preserve">+ Dotations</t>
  </si>
  <si>
    <t xml:space="preserve">– Capex et loyers</t>
  </si>
  <si>
    <t xml:space="preserve">+ BFR (encaissement)</t>
  </si>
  <si>
    <t xml:space="preserve">Période (années)</t>
  </si>
  <si>
    <t xml:space="preserve">Facteur d'actualisation</t>
  </si>
  <si>
    <t xml:space="preserve">FCFF actualisé</t>
  </si>
  <si>
    <t xml:space="preserve">VALORISATION</t>
  </si>
  <si>
    <t xml:space="preserve">Somme des FCFF actualisés</t>
  </si>
  <si>
    <t xml:space="preserve">Croissance à l'infini (g)</t>
  </si>
  <si>
    <t xml:space="preserve">Hypothèse prudente, inférieure à l'inflation (scénarios testés : 0,9 % / 1,2 % / 1,5 %, onglet Sensibilité)</t>
  </si>
  <si>
    <t xml:space="preserve">FCFF terminal (= NOPAT final : capex = dotations)</t>
  </si>
  <si>
    <t xml:space="preserve">Valeur terminale (Gordon-Shapiro)</t>
  </si>
  <si>
    <t xml:space="preserve">Valeur terminale actualisée</t>
  </si>
  <si>
    <t xml:space="preserve">VALEUR D'ENTREPRISE</t>
  </si>
  <si>
    <t xml:space="preserve">Poids de la valeur terminale</t>
  </si>
  <si>
    <t xml:space="preserve">FINANCIÈRE EIFFARIE = APRR + AREA + ALIAÉ | DCF jusqu'à l'échéance (2035-2036)</t>
  </si>
  <si>
    <t xml:space="preserve">Damodaran : entre Utility (0,41) et Transportation (0,54)</t>
  </si>
  <si>
    <t xml:space="preserve">Hypothèse de structure financière = dette nette / valeur des capitaux propres du DCF (voir B14)</t>
  </si>
  <si>
    <t xml:space="preserve">Prime de risque</t>
  </si>
  <si>
    <t xml:space="preserve">Coût des capitaux propres</t>
  </si>
  <si>
    <t xml:space="preserve">Rf + spread (Hypothèses!B25)</t>
  </si>
  <si>
    <t xml:space="preserve">Contrôle : D/E implicite du DCF (dette nette / capitaux propres)</t>
  </si>
  <si>
    <t xml:space="preserve"> Écart :</t>
  </si>
  <si>
    <t xml:space="preserve">DEU 2025 note 5.1 : APRR-AREA 3 183 + Aliaé 56,7 (p.225) = périmètre Financière Eiffarie</t>
  </si>
  <si>
    <t xml:space="preserve">Marge réelle de l'EBITDA du groupe APRR consolidé (APRR + AREA + Aliaé = Eiffarie), comptes APRR 2025 : 2 283 / 3 244,9</t>
  </si>
  <si>
    <t xml:space="preserve">Réel APRR 2025 : dotations 613,5 / CA</t>
  </si>
  <si>
    <t xml:space="preserve">Réel APRR 2025 : (investissements 261,7 + loyers = 5,4) / CA 3 244,9</t>
  </si>
  <si>
    <t xml:space="preserve">Hypothèse : péages encaissés immédiatement, BFR négligeable</t>
  </si>
  <si>
    <t xml:space="preserve">Réel : EBITDA APRR consolidé 2025 (comptes APRR)</t>
  </si>
  <si>
    <t xml:space="preserve">Croissance</t>
  </si>
  <si>
    <t xml:space="preserve">Somme des FCFF actualisés (jusqu'à l'échéance)</t>
  </si>
  <si>
    <t xml:space="preserve">égale à la somme des FCFF : pas de valeur terminale car  l'ouvrage revient à l'État</t>
  </si>
  <si>
    <t xml:space="preserve">Autres concessions, DCF jusqu'en 2040 puis annuité jusqu'à l'échéance</t>
  </si>
  <si>
    <t xml:space="preserve">Damodaran Europe, Transportation</t>
  </si>
  <si>
    <t xml:space="preserve">Même structure financière que Eiffarie car concession matures comparables</t>
  </si>
  <si>
    <t xml:space="preserve">Rf + spread (Hypothèses!B26)</t>
  </si>
  <si>
    <t xml:space="preserve">CA Concessions (3 978, DEU) - CA Eiffarie = résiduel</t>
  </si>
  <si>
    <t xml:space="preserve">Marge observée 2025 du résiduel (EBITDA / CA), maintenue constante</t>
  </si>
  <si>
    <t xml:space="preserve">Hypothèse : mêmes actifs que Eiffarie =&gt; même taux de dotations (taux APRR réel)</t>
  </si>
  <si>
    <t xml:space="preserve">Hypothèse : même taux de capex que Eiffarie (taux APRR réel)</t>
  </si>
  <si>
    <t xml:space="preserve">Hypothèse idem que Eiffarie, BFR négligeable</t>
  </si>
  <si>
    <t xml:space="preserve">EBITDA Concessions (ROC 1 712 + dotations 951 = 2 663) - EBITDA Eiffarie = résiduel</t>
  </si>
  <si>
    <t xml:space="preserve">Somme des FCFF actualisés (jusqu'en 2040)</t>
  </si>
  <si>
    <t xml:space="preserve">Croissance après la dernière année projetée</t>
  </si>
  <si>
    <t xml:space="preserve">Échéance moyenne des concessions</t>
  </si>
  <si>
    <t xml:space="preserve">Moyenne indicative (A'liénor 2066, Adelac 2060, Millau 2079, Sénégal 2044 etc)</t>
  </si>
  <si>
    <t xml:space="preserve">Années restantes après 2040</t>
  </si>
  <si>
    <t xml:space="preserve">Valeur actualisée de l'annuité après 2040</t>
  </si>
  <si>
    <t xml:space="preserve">Évaluation par les multiples avec comparables cotés</t>
  </si>
  <si>
    <t xml:space="preserve">M€ sauf Skanska en MSEK ; Cours du 09/10/2026 ;  Dette nette avec dettes de location et EBITDA avant loyers (IFRS 16)</t>
  </si>
  <si>
    <t xml:space="preserve">Colonne « Retenu » : 1 = inclus dans les statistiques, 0 = exclu</t>
  </si>
  <si>
    <t xml:space="preserve">seulement si retenu</t>
  </si>
  <si>
    <t xml:space="preserve">Société</t>
  </si>
  <si>
    <t xml:space="preserve">Retenu</t>
  </si>
  <si>
    <t xml:space="preserve">Cours au 09/10/2026</t>
  </si>
  <si>
    <t xml:space="preserve">Nb actions (M)</t>
  </si>
  <si>
    <t xml:space="preserve">Capitalisation</t>
  </si>
  <si>
    <t xml:space="preserve">Dette nette</t>
  </si>
  <si>
    <t xml:space="preserve">Minoritaires</t>
  </si>
  <si>
    <t xml:space="preserve">MEE</t>
  </si>
  <si>
    <t xml:space="preserve">VE</t>
  </si>
  <si>
    <t xml:space="preserve">EBIT 2025</t>
  </si>
  <si>
    <t xml:space="preserve">Résultat net pdg</t>
  </si>
  <si>
    <t xml:space="preserve">VE/CA</t>
  </si>
  <si>
    <t xml:space="preserve">VE/EBITDA</t>
  </si>
  <si>
    <t xml:space="preserve">VE/EBIT</t>
  </si>
  <si>
    <t xml:space="preserve">PER</t>
  </si>
  <si>
    <t xml:space="preserve">Source / remarque (voir le détail des données) </t>
  </si>
  <si>
    <t xml:space="preserve">Vinci</t>
  </si>
  <si>
    <t xml:space="preserve">Rapport Vinci 2025 / Dette nette : endettement financier net 19 075 + dettes de location 2 849 (non courantes 2 112 + courantes 737)</t>
  </si>
  <si>
    <t xml:space="preserve">Bouygues</t>
  </si>
  <si>
    <t xml:space="preserve">Rapport Bouygues 2025 / Dette nette 4 204 + obligations locatives 3 419 (non courantes 2 847 + courantes 572). EBITDA après loyers 5 124 + remboursement des obligations locatives 455</t>
  </si>
  <si>
    <t xml:space="preserve">Hochtief</t>
  </si>
  <si>
    <t xml:space="preserve">Présentation FY2025 Hochtief / Dette nette 97 + dettes de location 647 (423 + 224). Nb d'actions déduit du BPA nominal (902 / 11,99). RETENU : pair direct des Travaux (BTP/construction international, 5e comparable coté pour avoir un échantillon suffisant). Limite : sa participation dans Abertis (MEE, 2 233 à la valeur comptable) est déduite de la VE et hors EBITDA, donc les multiples sont élevés (PER ≈ 32x) et tirent la borne haute des fourchettes.</t>
  </si>
  <si>
    <t xml:space="preserve">Strabag</t>
  </si>
  <si>
    <t xml:space="preserve">Rapport Strabag 2025, tableau « Calculation of net debt » / Trésorerie nette publiée 3 518 : inclut les dettes de location (368), les provisions de retraite et d'indemnités de départ (+376) et exclut les dettes sans recours de grands projets (−399)</t>
  </si>
  <si>
    <t xml:space="preserve">Skanska</t>
  </si>
  <si>
    <t xml:space="preserve">Rapport Skanska 2025 (en MSEK) / Trésorerie nette ajustée 11 504 − dettes de location 6 209. EBITDA = Zonebourse car non publié</t>
  </si>
  <si>
    <t xml:space="preserve">Ferrovial</t>
  </si>
  <si>
    <t xml:space="preserve">EXCLU : l'EBITDA ajusté ne comprend pas les sociétés mises en équivalence, multiples non comparables</t>
  </si>
  <si>
    <t xml:space="preserve">Statistiques (comparables retenus)</t>
  </si>
  <si>
    <t xml:space="preserve">Minimum</t>
  </si>
  <si>
    <t xml:space="preserve">1er quartile</t>
  </si>
  <si>
    <t xml:space="preserve">Médiane</t>
  </si>
  <si>
    <t xml:space="preserve">Moyenne</t>
  </si>
  <si>
    <t xml:space="preserve">3e quartile</t>
  </si>
  <si>
    <t xml:space="preserve">Maximum</t>
  </si>
  <si>
    <t xml:space="preserve">Eiffage (cible)</t>
  </si>
  <si>
    <t xml:space="preserve">Cours</t>
  </si>
  <si>
    <t xml:space="preserve">Dette nette avec loyers (DEU 2025)</t>
  </si>
  <si>
    <t xml:space="preserve">Minoritaires (résultat 445 × PER de marché)</t>
  </si>
  <si>
    <t xml:space="preserve">MEE (Getlink au marché)</t>
  </si>
  <si>
    <t xml:space="preserve">VE de marché</t>
  </si>
  <si>
    <t xml:space="preserve">BPA dilué (€)</t>
  </si>
  <si>
    <t xml:space="preserve">VE/EBITDA de marché</t>
  </si>
  <si>
    <t xml:space="preserve">VE/EBIT de marché</t>
  </si>
  <si>
    <t xml:space="preserve">Valeur implicite par action (€)</t>
  </si>
  <si>
    <t xml:space="preserve">Agrégat</t>
  </si>
  <si>
    <t xml:space="preserve">Mult. bas (Q1)</t>
  </si>
  <si>
    <t xml:space="preserve">Mult. médian</t>
  </si>
  <si>
    <t xml:space="preserve">Mult. haut (Q3)</t>
  </si>
  <si>
    <t xml:space="preserve">€ bas</t>
  </si>
  <si>
    <t xml:space="preserve">€ médian</t>
  </si>
  <si>
    <t xml:space="preserve">€ haut</t>
  </si>
  <si>
    <t xml:space="preserve">VE / EBIT 2025</t>
  </si>
  <si>
    <t xml:space="preserve">PER 2025</t>
  </si>
  <si>
    <t xml:space="preserve">Valeur par action = (multiple × agrégat Eiffage - dette nette - minoritaires + MEE) / nombre d'actions. </t>
  </si>
  <si>
    <t xml:space="preserve">Méthode PER : multiple × BPA dilué</t>
  </si>
  <si>
    <t xml:space="preserve">Détail des données brutes saisies</t>
  </si>
  <si>
    <t xml:space="preserve">Dette nette : composante 1</t>
  </si>
  <si>
    <t xml:space="preserve">Dettes de location non courantes : composante 2</t>
  </si>
  <si>
    <t xml:space="preserve">Dettes de location courantes : composante 3</t>
  </si>
  <si>
    <t xml:space="preserve">Actions émises (M)</t>
  </si>
  <si>
    <t xml:space="preserve">Actions auto-détenues (M)</t>
  </si>
  <si>
    <t xml:space="preserve">EBITDA : composante 1</t>
  </si>
  <si>
    <t xml:space="preserve">EBITDA : composante 2</t>
  </si>
  <si>
    <t xml:space="preserve">BPA nominal (€)</t>
  </si>
</sst>
</file>

<file path=xl/styles.xml><?xml version="1.0" encoding="utf-8"?>
<styleSheet xmlns="http://schemas.openxmlformats.org/spreadsheetml/2006/main">
  <numFmts count="17">
    <numFmt numFmtId="164" formatCode="General"/>
    <numFmt numFmtId="165" formatCode="0.00%"/>
    <numFmt numFmtId="166" formatCode="0.0%"/>
    <numFmt numFmtId="167" formatCode="0.00"/>
    <numFmt numFmtId="168" formatCode="0"/>
    <numFmt numFmtId="169" formatCode="#,##0"/>
    <numFmt numFmtId="170" formatCode="0.0"/>
    <numFmt numFmtId="171" formatCode="0%"/>
    <numFmt numFmtId="172" formatCode="#,##0;\(#,##0\);\-"/>
    <numFmt numFmtId="173" formatCode="#,##0.0;\(#,##0.0\);\-"/>
    <numFmt numFmtId="174" formatCode="0.0%0"/>
    <numFmt numFmtId="175" formatCode="0.000"/>
    <numFmt numFmtId="176" formatCode="0.0\x"/>
    <numFmt numFmtId="177" formatCode="\+0.0%;\-0.0%;&quot;Scénario central&quot;"/>
    <numFmt numFmtId="178" formatCode="0.0000"/>
    <numFmt numFmtId="179" formatCode="_-* #,##0.00_-;\-* #,##0.00_-;_-* \-??_-;_-@_-"/>
    <numFmt numFmtId="180" formatCode="0.00\x"/>
  </numFmts>
  <fonts count="33">
    <font>
      <sz val="11"/>
      <color theme="1"/>
      <name val="Calibri"/>
      <family val="2"/>
      <charset val="1"/>
    </font>
    <font>
      <sz val="10"/>
      <name val="Arial"/>
      <family val="0"/>
    </font>
    <font>
      <sz val="10"/>
      <name val="Arial"/>
      <family val="0"/>
    </font>
    <font>
      <sz val="10"/>
      <name val="Arial"/>
      <family val="0"/>
    </font>
    <font>
      <b val="true"/>
      <u val="single"/>
      <sz val="14"/>
      <color rgb="FF000000"/>
      <name val="Arial"/>
      <family val="2"/>
      <charset val="1"/>
    </font>
    <font>
      <b val="true"/>
      <sz val="12"/>
      <color rgb="FF000000"/>
      <name val="Arial"/>
      <family val="2"/>
      <charset val="1"/>
    </font>
    <font>
      <sz val="12"/>
      <color theme="1"/>
      <name val="Calibri"/>
      <family val="2"/>
      <charset val="1"/>
    </font>
    <font>
      <sz val="12"/>
      <color rgb="FF000000"/>
      <name val="Arial"/>
      <family val="2"/>
      <charset val="1"/>
    </font>
    <font>
      <b val="true"/>
      <sz val="10"/>
      <color rgb="FFC00000"/>
      <name val="Arial"/>
      <family val="2"/>
      <charset val="1"/>
    </font>
    <font>
      <i val="true"/>
      <sz val="10"/>
      <color rgb="FF000000"/>
      <name val="Arial"/>
      <family val="2"/>
      <charset val="1"/>
    </font>
    <font>
      <u val="single"/>
      <sz val="11"/>
      <color theme="10"/>
      <name val="Calibri"/>
      <family val="2"/>
      <charset val="1"/>
    </font>
    <font>
      <b val="true"/>
      <sz val="11"/>
      <color rgb="FFFFFFFF"/>
      <name val="Arial"/>
      <family val="2"/>
      <charset val="1"/>
    </font>
    <font>
      <b val="true"/>
      <sz val="10"/>
      <color rgb="FFFFFFFF"/>
      <name val="Arial"/>
      <family val="2"/>
      <charset val="1"/>
    </font>
    <font>
      <sz val="10"/>
      <color rgb="FF000000"/>
      <name val="Arial"/>
      <family val="2"/>
      <charset val="1"/>
    </font>
    <font>
      <sz val="10"/>
      <color rgb="FF008000"/>
      <name val="Arial"/>
      <family val="2"/>
      <charset val="1"/>
    </font>
    <font>
      <b val="true"/>
      <sz val="10"/>
      <color rgb="FF000000"/>
      <name val="Arial"/>
      <family val="2"/>
      <charset val="1"/>
    </font>
    <font>
      <i val="true"/>
      <sz val="10"/>
      <color theme="1" tint="0.2499"/>
      <name val="Arial"/>
      <family val="2"/>
      <charset val="1"/>
    </font>
    <font>
      <b val="true"/>
      <sz val="10"/>
      <color rgb="FF666666"/>
      <name val="Arial"/>
      <family val="2"/>
      <charset val="1"/>
    </font>
    <font>
      <sz val="10"/>
      <color rgb="FF0000FF"/>
      <name val="Arial"/>
      <family val="2"/>
      <charset val="1"/>
    </font>
    <font>
      <i val="true"/>
      <sz val="10"/>
      <color rgb="FF666666"/>
      <name val="Arial"/>
      <family val="2"/>
      <charset val="1"/>
    </font>
    <font>
      <b val="true"/>
      <sz val="13"/>
      <name val="Arial"/>
      <family val="2"/>
      <charset val="1"/>
    </font>
    <font>
      <sz val="10"/>
      <color rgb="FF595959"/>
      <name val="Arial"/>
      <family val="2"/>
      <charset val="1"/>
    </font>
    <font>
      <sz val="10"/>
      <color rgb="FF006100"/>
      <name val="Arial"/>
      <family val="2"/>
      <charset val="1"/>
    </font>
    <font>
      <b val="true"/>
      <sz val="10"/>
      <color rgb="FF006100"/>
      <name val="Arial"/>
      <family val="2"/>
      <charset val="1"/>
    </font>
    <font>
      <b val="true"/>
      <sz val="18"/>
      <color rgb="FF000000"/>
      <name val="Calibri"/>
      <family val="2"/>
    </font>
    <font>
      <sz val="10"/>
      <color rgb="FF000000"/>
      <name val="Calibri"/>
      <family val="2"/>
    </font>
    <font>
      <b val="true"/>
      <sz val="10"/>
      <color rgb="FF000000"/>
      <name val="Calibri"/>
      <family val="2"/>
    </font>
    <font>
      <b val="true"/>
      <sz val="10"/>
      <color rgb="FF008000"/>
      <name val="Arial"/>
      <family val="2"/>
      <charset val="1"/>
    </font>
    <font>
      <sz val="8"/>
      <color rgb="FF636362"/>
      <name val="Avenir-Book"/>
      <family val="0"/>
      <charset val="1"/>
    </font>
    <font>
      <sz val="10"/>
      <name val="Arial"/>
      <family val="2"/>
      <charset val="1"/>
    </font>
    <font>
      <i val="true"/>
      <sz val="10"/>
      <color rgb="FF595959"/>
      <name val="Arial"/>
      <family val="2"/>
      <charset val="1"/>
    </font>
    <font>
      <sz val="11"/>
      <color rgb="FFFF0000"/>
      <name val="Calibri"/>
      <family val="2"/>
      <charset val="1"/>
    </font>
    <font>
      <b val="true"/>
      <sz val="11"/>
      <color theme="1"/>
      <name val="Calibri"/>
      <family val="2"/>
      <charset val="1"/>
    </font>
  </fonts>
  <fills count="7">
    <fill>
      <patternFill patternType="none"/>
    </fill>
    <fill>
      <patternFill patternType="gray125"/>
    </fill>
    <fill>
      <patternFill patternType="solid">
        <fgColor rgb="FFC00000"/>
        <bgColor rgb="FFFF0000"/>
      </patternFill>
    </fill>
    <fill>
      <patternFill patternType="solid">
        <fgColor theme="5" tint="0.3999"/>
        <bgColor rgb="FFFF99CC"/>
      </patternFill>
    </fill>
    <fill>
      <patternFill patternType="solid">
        <fgColor theme="5" tint="0.7999"/>
        <bgColor rgb="FFEEECE1"/>
      </patternFill>
    </fill>
    <fill>
      <patternFill patternType="solid">
        <fgColor theme="5" tint="0.5999"/>
        <bgColor rgb="FFD9D9D9"/>
      </patternFill>
    </fill>
    <fill>
      <patternFill patternType="solid">
        <fgColor theme="5" tint="-0.25"/>
        <bgColor rgb="FF993366"/>
      </patternFill>
    </fill>
  </fills>
  <borders count="13">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style="thin"/>
      <top/>
      <bottom style="thin"/>
      <diagonal/>
    </border>
    <border diagonalUp="false" diagonalDown="false">
      <left/>
      <right/>
      <top style="thin"/>
      <bottom style="thin"/>
      <diagonal/>
    </border>
    <border diagonalUp="false" diagonalDown="false">
      <left/>
      <right/>
      <top/>
      <bottom style="thin"/>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left" vertical="top" textRotation="0" wrapText="true" indent="0" shrinkToFit="false"/>
      <protection locked="true" hidden="false"/>
    </xf>
    <xf numFmtId="164" fontId="12" fillId="3" borderId="0" xfId="0" applyFont="true" applyBorder="false" applyAlignment="true" applyProtection="false">
      <alignment horizontal="right" vertical="top" textRotation="0" wrapText="true" indent="0" shrinkToFit="false"/>
      <protection locked="true" hidden="false"/>
    </xf>
    <xf numFmtId="164" fontId="13" fillId="0" borderId="0" xfId="0" applyFont="true" applyBorder="false" applyAlignment="true" applyProtection="false">
      <alignment horizontal="left" vertical="top" textRotation="0" wrapText="true" indent="0" shrinkToFit="false"/>
      <protection locked="true" hidden="false"/>
    </xf>
    <xf numFmtId="164" fontId="13" fillId="0" borderId="0" xfId="0" applyFont="true" applyBorder="false" applyAlignment="true" applyProtection="false">
      <alignment horizontal="right" vertical="top" textRotation="0" wrapText="tru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5" fontId="14" fillId="0" borderId="0" xfId="0" applyFont="true" applyBorder="false" applyAlignment="true" applyProtection="false">
      <alignment horizontal="right" vertical="top" textRotation="0" wrapText="true" indent="0" shrinkToFit="false"/>
      <protection locked="true" hidden="false"/>
    </xf>
    <xf numFmtId="166" fontId="14" fillId="0" borderId="0" xfId="0" applyFont="true" applyBorder="false" applyAlignment="true" applyProtection="false">
      <alignment horizontal="right" vertical="top" textRotation="0" wrapText="true" indent="0" shrinkToFit="false"/>
      <protection locked="true" hidden="false"/>
    </xf>
    <xf numFmtId="167" fontId="14" fillId="0" borderId="0" xfId="0" applyFont="true" applyBorder="false" applyAlignment="true" applyProtection="false">
      <alignment horizontal="right" vertical="top" textRotation="0" wrapText="true" indent="0" shrinkToFit="false"/>
      <protection locked="true" hidden="false"/>
    </xf>
    <xf numFmtId="168" fontId="14" fillId="0" borderId="0" xfId="0" applyFont="true" applyBorder="false" applyAlignment="true" applyProtection="false">
      <alignment horizontal="right" vertical="top" textRotation="0" wrapText="true" indent="0" shrinkToFit="false"/>
      <protection locked="true" hidden="false"/>
    </xf>
    <xf numFmtId="169" fontId="14" fillId="0" borderId="0" xfId="0" applyFont="true" applyBorder="false" applyAlignment="true" applyProtection="false">
      <alignment horizontal="right" vertical="top" textRotation="0" wrapText="true" indent="0" shrinkToFit="false"/>
      <protection locked="true" hidden="false"/>
    </xf>
    <xf numFmtId="170" fontId="14" fillId="0" borderId="0" xfId="0" applyFont="true" applyBorder="false" applyAlignment="true" applyProtection="false">
      <alignment horizontal="right" vertical="top" textRotation="0" wrapText="true" indent="0" shrinkToFit="false"/>
      <protection locked="true" hidden="false"/>
    </xf>
    <xf numFmtId="171" fontId="14" fillId="0" borderId="0" xfId="0" applyFont="true" applyBorder="false" applyAlignment="true" applyProtection="false">
      <alignment horizontal="right" vertical="top" textRotation="0" wrapText="true" indent="0" shrinkToFit="false"/>
      <protection locked="true" hidden="false"/>
    </xf>
    <xf numFmtId="164" fontId="14" fillId="0" borderId="0" xfId="0" applyFont="true" applyBorder="false" applyAlignment="true" applyProtection="false">
      <alignment horizontal="right" vertical="top" textRotation="0" wrapText="tru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general" vertical="bottom" textRotation="0" wrapText="false" indent="0" shrinkToFit="false"/>
      <protection locked="true" hidden="false"/>
    </xf>
    <xf numFmtId="164" fontId="17" fillId="3"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72" fontId="18" fillId="4"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72" fontId="13" fillId="0" borderId="0" xfId="0" applyFont="true" applyBorder="false" applyAlignment="true" applyProtection="false">
      <alignment horizontal="general" vertical="bottom" textRotation="0" wrapText="false" indent="0" shrinkToFit="false"/>
      <protection locked="true" hidden="false"/>
    </xf>
    <xf numFmtId="173" fontId="18" fillId="4" borderId="0" xfId="0" applyFont="true" applyBorder="false" applyAlignment="true" applyProtection="false">
      <alignment horizontal="general" vertical="bottom" textRotation="0" wrapText="false" indent="0" shrinkToFit="false"/>
      <protection locked="true" hidden="false"/>
    </xf>
    <xf numFmtId="166" fontId="18" fillId="4" borderId="0" xfId="0" applyFont="true" applyBorder="false" applyAlignment="true" applyProtection="false">
      <alignment horizontal="general" vertical="bottom" textRotation="0" wrapText="false" indent="0" shrinkToFit="false"/>
      <protection locked="true" hidden="false"/>
    </xf>
    <xf numFmtId="174" fontId="18" fillId="4" borderId="0" xfId="0" applyFont="true" applyBorder="false" applyAlignment="true" applyProtection="false">
      <alignment horizontal="general" vertical="bottom" textRotation="0" wrapText="false" indent="0" shrinkToFit="false"/>
      <protection locked="true" hidden="false"/>
    </xf>
    <xf numFmtId="169" fontId="18" fillId="4" borderId="0" xfId="0" applyFont="true" applyBorder="false" applyAlignment="true" applyProtection="false">
      <alignment horizontal="general" vertical="bottom" textRotation="0" wrapText="false" indent="0" shrinkToFit="false"/>
      <protection locked="true" hidden="false"/>
    </xf>
    <xf numFmtId="167" fontId="18" fillId="4" borderId="0" xfId="0" applyFont="true" applyBorder="false" applyAlignment="true" applyProtection="false">
      <alignment horizontal="general" vertical="bottom" textRotation="0" wrapText="false" indent="0" shrinkToFit="false"/>
      <protection locked="true" hidden="false"/>
    </xf>
    <xf numFmtId="166" fontId="13"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center" vertical="bottom" textRotation="0" wrapText="true" indent="0" shrinkToFit="false"/>
      <protection locked="true" hidden="false"/>
    </xf>
    <xf numFmtId="165" fontId="18" fillId="4" borderId="0" xfId="0" applyFont="true" applyBorder="false" applyAlignment="true" applyProtection="false">
      <alignment horizontal="general" vertical="bottom" textRotation="0" wrapText="false" indent="0" shrinkToFit="false"/>
      <protection locked="true" hidden="false"/>
    </xf>
    <xf numFmtId="167" fontId="18" fillId="0" borderId="0" xfId="0" applyFont="true" applyBorder="false" applyAlignment="true" applyProtection="false">
      <alignment horizontal="general" vertical="bottom" textRotation="0" wrapText="false" indent="0" shrinkToFit="false"/>
      <protection locked="true" hidden="false"/>
    </xf>
    <xf numFmtId="175" fontId="14" fillId="0" borderId="0" xfId="0" applyFont="true" applyBorder="false" applyAlignment="true" applyProtection="false">
      <alignment horizontal="general" vertical="bottom" textRotation="0" wrapText="false" indent="0" shrinkToFit="false"/>
      <protection locked="true" hidden="false"/>
    </xf>
    <xf numFmtId="167" fontId="14" fillId="0" borderId="0" xfId="0" applyFont="true" applyBorder="false" applyAlignment="true" applyProtection="false">
      <alignment horizontal="general" vertical="bottom" textRotation="0" wrapText="false" indent="0" shrinkToFit="false"/>
      <protection locked="true" hidden="false"/>
    </xf>
    <xf numFmtId="176" fontId="13" fillId="0" borderId="0" xfId="0" applyFont="true" applyBorder="false" applyAlignment="true" applyProtection="false">
      <alignment horizontal="general" vertical="bottom" textRotation="0" wrapText="false" indent="0" shrinkToFit="false"/>
      <protection locked="true" hidden="false"/>
    </xf>
    <xf numFmtId="172" fontId="14" fillId="0" borderId="0" xfId="0" applyFont="true" applyBorder="false" applyAlignment="true" applyProtection="false">
      <alignment horizontal="general" vertical="bottom" textRotation="0" wrapText="false" indent="0" shrinkToFit="false"/>
      <protection locked="true" hidden="false"/>
    </xf>
    <xf numFmtId="166" fontId="14"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72" fontId="22" fillId="0" borderId="0" xfId="0" applyFont="true" applyBorder="false" applyAlignment="true" applyProtection="false">
      <alignment horizontal="general" vertical="bottom" textRotation="0" wrapText="false" indent="0" shrinkToFit="false"/>
      <protection locked="true" hidden="false"/>
    </xf>
    <xf numFmtId="172" fontId="23" fillId="0" borderId="0" xfId="0" applyFont="true" applyBorder="false" applyAlignment="true" applyProtection="false">
      <alignment horizontal="general" vertical="bottom" textRotation="0" wrapText="false" indent="0" shrinkToFit="false"/>
      <protection locked="true" hidden="false"/>
    </xf>
    <xf numFmtId="172" fontId="15" fillId="0" borderId="0" xfId="0" applyFont="true" applyBorder="false" applyAlignment="true" applyProtection="false">
      <alignment horizontal="general" vertical="bottom" textRotation="0" wrapText="false" indent="0" shrinkToFit="false"/>
      <protection locked="true" hidden="false"/>
    </xf>
    <xf numFmtId="165" fontId="22" fillId="0" borderId="0" xfId="0" applyFont="true" applyBorder="false" applyAlignment="true" applyProtection="false">
      <alignment horizontal="general" vertical="bottom" textRotation="0" wrapText="false" indent="0" shrinkToFit="false"/>
      <protection locked="true" hidden="false"/>
    </xf>
    <xf numFmtId="166" fontId="22" fillId="0" borderId="0" xfId="0" applyFont="true" applyBorder="false" applyAlignment="true" applyProtection="false">
      <alignment horizontal="general" vertical="bottom" textRotation="0" wrapText="false" indent="0" shrinkToFit="false"/>
      <protection locked="true" hidden="false"/>
    </xf>
    <xf numFmtId="167" fontId="22" fillId="0" borderId="0" xfId="0" applyFont="true" applyBorder="false" applyAlignment="true" applyProtection="false">
      <alignment horizontal="general" vertical="bottom" textRotation="0" wrapText="false" indent="0" shrinkToFit="false"/>
      <protection locked="true" hidden="false"/>
    </xf>
    <xf numFmtId="170" fontId="15" fillId="4" borderId="0" xfId="0" applyFont="true" applyBorder="false" applyAlignment="true" applyProtection="false">
      <alignment horizontal="general" vertical="bottom" textRotation="0" wrapText="false" indent="0" shrinkToFit="false"/>
      <protection locked="true" hidden="false"/>
    </xf>
    <xf numFmtId="164" fontId="0" fillId="5" borderId="1" xfId="0" applyFont="true" applyBorder="true" applyAlignment="true" applyProtection="false">
      <alignment horizontal="general" vertical="bottom" textRotation="0" wrapText="false" indent="0" shrinkToFit="false"/>
      <protection locked="true" hidden="false"/>
    </xf>
    <xf numFmtId="164" fontId="23" fillId="0" borderId="1" xfId="0" applyFont="true" applyBorder="true" applyAlignment="true" applyProtection="false">
      <alignment horizontal="general" vertical="top" textRotation="0" wrapText="true" indent="0" shrinkToFit="false"/>
      <protection locked="true" hidden="false"/>
    </xf>
    <xf numFmtId="171" fontId="13" fillId="0" borderId="0" xfId="0" applyFont="true" applyBorder="false" applyAlignment="true" applyProtection="false">
      <alignment horizontal="general" vertical="bottom" textRotation="0" wrapText="false" indent="0" shrinkToFit="false"/>
      <protection locked="true" hidden="false"/>
    </xf>
    <xf numFmtId="168" fontId="14" fillId="0" borderId="0" xfId="0" applyFont="true" applyBorder="false" applyAlignment="true" applyProtection="false">
      <alignment horizontal="general" vertical="bottom" textRotation="0" wrapText="false" indent="0" shrinkToFit="false"/>
      <protection locked="true" hidden="false"/>
    </xf>
    <xf numFmtId="168" fontId="13" fillId="0" borderId="0" xfId="0" applyFont="true" applyBorder="false" applyAlignment="true" applyProtection="false">
      <alignment horizontal="general" vertical="bottom" textRotation="0" wrapText="false" indent="0" shrinkToFit="false"/>
      <protection locked="true" hidden="false"/>
    </xf>
    <xf numFmtId="168" fontId="18" fillId="4" borderId="0" xfId="0" applyFont="true" applyBorder="false" applyAlignment="tru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6" fontId="18" fillId="5" borderId="0" xfId="0" applyFont="true" applyBorder="false" applyAlignment="true" applyProtection="false">
      <alignment horizontal="general" vertical="bottom" textRotation="0" wrapText="false" indent="0" shrinkToFit="false"/>
      <protection locked="true" hidden="false"/>
    </xf>
    <xf numFmtId="165" fontId="27"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6" fontId="15" fillId="0" borderId="0" xfId="0" applyFont="true" applyBorder="false" applyAlignment="true" applyProtection="false">
      <alignment horizontal="general" vertical="bottom" textRotation="0" wrapText="false" indent="0" shrinkToFit="false"/>
      <protection locked="true" hidden="false"/>
    </xf>
    <xf numFmtId="177" fontId="13" fillId="0" borderId="0" xfId="0" applyFont="true" applyBorder="false" applyAlignment="true" applyProtection="false">
      <alignment horizontal="left" vertical="bottom" textRotation="0" wrapText="false" indent="0" shrinkToFit="false"/>
      <protection locked="true" hidden="false"/>
    </xf>
    <xf numFmtId="165" fontId="13" fillId="0" borderId="0" xfId="0" applyFont="true" applyBorder="false" applyAlignment="true" applyProtection="false">
      <alignment horizontal="general" vertical="bottom" textRotation="0" wrapText="false" indent="0" shrinkToFit="false"/>
      <protection locked="true" hidden="false"/>
    </xf>
    <xf numFmtId="168" fontId="15" fillId="4"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7" fontId="13" fillId="0" borderId="0" xfId="0" applyFont="true" applyBorder="false" applyAlignment="true" applyProtection="false">
      <alignment horizontal="general" vertical="bottom" textRotation="0" wrapText="false" indent="0" shrinkToFit="false"/>
      <protection locked="true" hidden="false"/>
    </xf>
    <xf numFmtId="164" fontId="12" fillId="6" borderId="2" xfId="0" applyFont="true" applyBorder="true" applyAlignment="true" applyProtection="false">
      <alignment horizontal="center" vertical="bottom" textRotation="0" wrapText="true" indent="0" shrinkToFit="false"/>
      <protection locked="true" hidden="false"/>
    </xf>
    <xf numFmtId="164" fontId="12" fillId="6" borderId="3" xfId="0" applyFont="true" applyBorder="true" applyAlignment="true" applyProtection="false">
      <alignment horizontal="center" vertical="bottom" textRotation="0" wrapText="true" indent="0" shrinkToFit="false"/>
      <protection locked="true" hidden="false"/>
    </xf>
    <xf numFmtId="164" fontId="13" fillId="0" borderId="4" xfId="0" applyFont="true" applyBorder="true" applyAlignment="true" applyProtection="false">
      <alignment horizontal="general" vertical="bottom" textRotation="0" wrapText="false" indent="0" shrinkToFit="false"/>
      <protection locked="true" hidden="false"/>
    </xf>
    <xf numFmtId="165" fontId="22" fillId="0" borderId="5" xfId="0" applyFont="true" applyBorder="true" applyAlignment="true" applyProtection="false">
      <alignment horizontal="general" vertical="bottom" textRotation="0" wrapText="false" indent="0" shrinkToFit="false"/>
      <protection locked="true" hidden="false"/>
    </xf>
    <xf numFmtId="164" fontId="13" fillId="0" borderId="6" xfId="0" applyFont="true" applyBorder="true" applyAlignment="true" applyProtection="false">
      <alignment horizontal="general" vertical="bottom" textRotation="0" wrapText="false" indent="0" shrinkToFit="false"/>
      <protection locked="true" hidden="false"/>
    </xf>
    <xf numFmtId="167" fontId="18" fillId="4" borderId="7" xfId="0" applyFont="true" applyBorder="true" applyAlignment="true" applyProtection="false">
      <alignment horizontal="general" vertical="bottom" textRotation="0" wrapText="false" indent="0" shrinkToFit="false"/>
      <protection locked="true" hidden="false"/>
    </xf>
    <xf numFmtId="166" fontId="22" fillId="0" borderId="7" xfId="0" applyFont="true" applyBorder="true" applyAlignment="true" applyProtection="false">
      <alignment horizontal="general" vertical="bottom" textRotation="0" wrapText="false" indent="0" shrinkToFit="false"/>
      <protection locked="true" hidden="false"/>
    </xf>
    <xf numFmtId="167" fontId="13" fillId="0" borderId="7" xfId="0" applyFont="true" applyBorder="true" applyAlignment="true" applyProtection="false">
      <alignment horizontal="general" vertical="bottom" textRotation="0" wrapText="false" indent="0" shrinkToFit="false"/>
      <protection locked="true" hidden="false"/>
    </xf>
    <xf numFmtId="165" fontId="22" fillId="0" borderId="7" xfId="0" applyFont="true" applyBorder="true" applyAlignment="true" applyProtection="false">
      <alignment horizontal="general" vertical="bottom" textRotation="0" wrapText="false" indent="0" shrinkToFit="false"/>
      <protection locked="true" hidden="false"/>
    </xf>
    <xf numFmtId="165" fontId="13" fillId="0" borderId="7" xfId="0" applyFont="true" applyBorder="true" applyAlignment="true" applyProtection="false">
      <alignment horizontal="general" vertical="bottom" textRotation="0" wrapText="false" indent="0" shrinkToFit="false"/>
      <protection locked="true" hidden="false"/>
    </xf>
    <xf numFmtId="165" fontId="14" fillId="0" borderId="7" xfId="0" applyFont="true" applyBorder="tru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6" fontId="13" fillId="0" borderId="7" xfId="0" applyFont="true" applyBorder="true" applyAlignment="true" applyProtection="false">
      <alignment horizontal="general" vertical="bottom" textRotation="0" wrapText="false" indent="0" shrinkToFit="false"/>
      <protection locked="true" hidden="false"/>
    </xf>
    <xf numFmtId="164" fontId="15" fillId="0" borderId="8" xfId="0" applyFont="true" applyBorder="true" applyAlignment="true" applyProtection="false">
      <alignment horizontal="general" vertical="bottom" textRotation="0" wrapText="false" indent="0" shrinkToFit="false"/>
      <protection locked="true" hidden="false"/>
    </xf>
    <xf numFmtId="165" fontId="13" fillId="0" borderId="9" xfId="0" applyFont="true" applyBorder="true" applyAlignment="true" applyProtection="false">
      <alignment horizontal="general" vertical="bottom" textRotation="0" wrapText="false" indent="0" shrinkToFit="false"/>
      <protection locked="true" hidden="false"/>
    </xf>
    <xf numFmtId="172" fontId="14" fillId="0" borderId="5" xfId="0" applyFont="true" applyBorder="true" applyAlignment="true" applyProtection="false">
      <alignment horizontal="general" vertical="bottom" textRotation="0" wrapText="false" indent="0" shrinkToFit="false"/>
      <protection locked="true" hidden="false"/>
    </xf>
    <xf numFmtId="166" fontId="18" fillId="4" borderId="7" xfId="0" applyFont="true" applyBorder="tru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center" textRotation="0" wrapText="true" indent="0" shrinkToFit="false"/>
      <protection locked="true" hidden="false"/>
    </xf>
    <xf numFmtId="174" fontId="13" fillId="0" borderId="7" xfId="0" applyFont="true" applyBorder="true" applyAlignment="true" applyProtection="false">
      <alignment horizontal="general" vertical="bottom" textRotation="0" wrapText="false" indent="0" shrinkToFit="false"/>
      <protection locked="true" hidden="false"/>
    </xf>
    <xf numFmtId="164" fontId="13" fillId="0" borderId="8" xfId="0" applyFont="true" applyBorder="true" applyAlignment="true" applyProtection="false">
      <alignment horizontal="general" vertical="bottom" textRotation="0" wrapText="false" indent="0" shrinkToFit="false"/>
      <protection locked="true" hidden="false"/>
    </xf>
    <xf numFmtId="172" fontId="14" fillId="0" borderId="9" xfId="0" applyFont="true" applyBorder="true" applyAlignment="true" applyProtection="false">
      <alignment horizontal="general" vertical="bottom" textRotation="0" wrapText="false" indent="0" shrinkToFit="false"/>
      <protection locked="true" hidden="false"/>
    </xf>
    <xf numFmtId="166" fontId="29" fillId="0" borderId="0" xfId="0" applyFont="true" applyBorder="false" applyAlignment="true" applyProtection="false">
      <alignment horizontal="general" vertical="bottom" textRotation="0" wrapText="false" indent="0" shrinkToFit="false"/>
      <protection locked="true" hidden="false"/>
    </xf>
    <xf numFmtId="164" fontId="12" fillId="6" borderId="10" xfId="0" applyFont="true" applyBorder="true" applyAlignment="true" applyProtection="false">
      <alignment horizontal="center" vertical="bottom" textRotation="0" wrapText="true" indent="0" shrinkToFit="false"/>
      <protection locked="true" hidden="false"/>
    </xf>
    <xf numFmtId="172" fontId="13" fillId="0" borderId="7" xfId="0" applyFont="true" applyBorder="true" applyAlignment="true" applyProtection="false">
      <alignment horizontal="general" vertical="bottom" textRotation="0" wrapText="false" indent="0" shrinkToFit="false"/>
      <protection locked="true" hidden="false"/>
    </xf>
    <xf numFmtId="165" fontId="18" fillId="4" borderId="7" xfId="0" applyFont="true" applyBorder="true" applyAlignment="true" applyProtection="false">
      <alignment horizontal="general" vertical="bottom" textRotation="0" wrapText="false" indent="0" shrinkToFit="false"/>
      <protection locked="true" hidden="false"/>
    </xf>
    <xf numFmtId="164" fontId="15" fillId="0" borderId="6" xfId="0" applyFont="true" applyBorder="true" applyAlignment="true" applyProtection="false">
      <alignment horizontal="general" vertical="bottom" textRotation="0" wrapText="false" indent="0" shrinkToFit="false"/>
      <protection locked="true" hidden="false"/>
    </xf>
    <xf numFmtId="172" fontId="15" fillId="0" borderId="7" xfId="0" applyFont="true" applyBorder="true" applyAlignment="true" applyProtection="false">
      <alignment horizontal="general" vertical="bottom" textRotation="0" wrapText="false" indent="0" shrinkToFit="false"/>
      <protection locked="true" hidden="false"/>
    </xf>
    <xf numFmtId="168" fontId="13" fillId="0" borderId="7" xfId="0" applyFont="true" applyBorder="true" applyAlignment="true" applyProtection="false">
      <alignment horizontal="general" vertical="bottom" textRotation="0" wrapText="false" indent="0" shrinkToFit="false"/>
      <protection locked="true" hidden="false"/>
    </xf>
    <xf numFmtId="178" fontId="13" fillId="0" borderId="0" xfId="0" applyFont="true" applyBorder="false" applyAlignment="true" applyProtection="false">
      <alignment horizontal="general" vertical="bottom" textRotation="0" wrapText="false" indent="0" shrinkToFit="false"/>
      <protection locked="true" hidden="false"/>
    </xf>
    <xf numFmtId="178" fontId="13" fillId="0" borderId="7" xfId="0" applyFont="true" applyBorder="true" applyAlignment="true" applyProtection="false">
      <alignment horizontal="general" vertical="bottom" textRotation="0" wrapText="false" indent="0" shrinkToFit="false"/>
      <protection locked="true" hidden="false"/>
    </xf>
    <xf numFmtId="164" fontId="0" fillId="0" borderId="11" xfId="0" applyFont="false" applyBorder="true" applyAlignment="true" applyProtection="false">
      <alignment horizontal="general" vertical="bottom" textRotation="0" wrapText="false" indent="0" shrinkToFit="false"/>
      <protection locked="true" hidden="false"/>
    </xf>
    <xf numFmtId="172" fontId="15" fillId="0" borderId="11" xfId="0" applyFont="true" applyBorder="true" applyAlignment="true" applyProtection="false">
      <alignment horizontal="general" vertical="bottom" textRotation="0" wrapText="false" indent="0" shrinkToFit="false"/>
      <protection locked="true" hidden="false"/>
    </xf>
    <xf numFmtId="172" fontId="15" fillId="0" borderId="9" xfId="0" applyFont="true" applyBorder="true" applyAlignment="true" applyProtection="false">
      <alignment horizontal="general" vertical="bottom" textRotation="0" wrapText="false" indent="0" shrinkToFit="false"/>
      <protection locked="true" hidden="false"/>
    </xf>
    <xf numFmtId="172" fontId="13" fillId="0" borderId="5" xfId="0" applyFont="true" applyBorder="true" applyAlignment="true" applyProtection="false">
      <alignment horizontal="general" vertical="bottom" textRotation="0" wrapText="false" indent="0" shrinkToFit="false"/>
      <protection locked="true" hidden="false"/>
    </xf>
    <xf numFmtId="176" fontId="13" fillId="0" borderId="9" xfId="0" applyFont="true" applyBorder="true" applyAlignment="true" applyProtection="false">
      <alignment horizontal="general" vertical="bottom" textRotation="0" wrapText="false" indent="0" shrinkToFit="false"/>
      <protection locked="true" hidden="false"/>
    </xf>
    <xf numFmtId="164" fontId="12" fillId="2" borderId="2" xfId="0" applyFont="true" applyBorder="true" applyAlignment="true" applyProtection="false">
      <alignment horizontal="center" vertical="bottom" textRotation="0" wrapText="true" indent="0" shrinkToFit="false"/>
      <protection locked="true" hidden="false"/>
    </xf>
    <xf numFmtId="164" fontId="12" fillId="2" borderId="3" xfId="0" applyFont="true" applyBorder="true" applyAlignment="true" applyProtection="false">
      <alignment horizontal="center" vertical="bottom" textRotation="0" wrapText="true" indent="0" shrinkToFit="false"/>
      <protection locked="true" hidden="false"/>
    </xf>
    <xf numFmtId="165" fontId="15" fillId="0" borderId="9" xfId="0" applyFont="true" applyBorder="true" applyAlignment="true" applyProtection="false">
      <alignment horizontal="general" vertical="bottom" textRotation="0" wrapText="false" indent="0" shrinkToFit="false"/>
      <protection locked="true" hidden="false"/>
    </xf>
    <xf numFmtId="165" fontId="29"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79" fontId="29" fillId="0" borderId="0" xfId="0" applyFont="true" applyBorder="false" applyAlignment="true" applyProtection="false">
      <alignment horizontal="general" vertical="bottom" textRotation="0" wrapText="false" indent="0" shrinkToFit="false"/>
      <protection locked="true" hidden="false"/>
    </xf>
    <xf numFmtId="173" fontId="14" fillId="0" borderId="5" xfId="0" applyFont="true" applyBorder="true" applyAlignment="true" applyProtection="false">
      <alignment horizontal="general" vertical="bottom" textRotation="0" wrapText="false" indent="0" shrinkToFit="false"/>
      <protection locked="true" hidden="false"/>
    </xf>
    <xf numFmtId="166" fontId="14" fillId="0" borderId="7" xfId="0" applyFont="true" applyBorder="true" applyAlignment="true" applyProtection="false">
      <alignment horizontal="general" vertical="bottom" textRotation="0" wrapText="false" indent="0" shrinkToFit="false"/>
      <protection locked="true" hidden="false"/>
    </xf>
    <xf numFmtId="171" fontId="29" fillId="0" borderId="0" xfId="0" applyFont="true" applyBorder="false" applyAlignment="true" applyProtection="false">
      <alignment horizontal="general" vertical="bottom" textRotation="0" wrapText="false" indent="0" shrinkToFit="false"/>
      <protection locked="true" hidden="false"/>
    </xf>
    <xf numFmtId="164" fontId="12" fillId="2" borderId="10" xfId="0" applyFont="true" applyBorder="true" applyAlignment="true" applyProtection="false">
      <alignment horizontal="center" vertical="bottom" textRotation="0" wrapText="true" indent="0" shrinkToFit="false"/>
      <protection locked="true" hidden="false"/>
    </xf>
    <xf numFmtId="172" fontId="13" fillId="0" borderId="12" xfId="0" applyFont="true" applyBorder="true" applyAlignment="true" applyProtection="false">
      <alignment horizontal="general" vertical="bottom" textRotation="0" wrapText="false" indent="0" shrinkToFit="false"/>
      <protection locked="true" hidden="false"/>
    </xf>
    <xf numFmtId="167" fontId="14" fillId="0" borderId="7" xfId="0" applyFont="true" applyBorder="true" applyAlignment="true" applyProtection="false">
      <alignment horizontal="general" vertical="bottom" textRotation="0" wrapText="false" indent="0" shrinkToFit="false"/>
      <protection locked="true" hidden="false"/>
    </xf>
    <xf numFmtId="165" fontId="15" fillId="0" borderId="0" xfId="0" applyFont="true" applyBorder="false" applyAlignment="true" applyProtection="false">
      <alignment horizontal="general" vertical="bottom" textRotation="0" wrapText="false" indent="0" shrinkToFit="false"/>
      <protection locked="true" hidden="false"/>
    </xf>
    <xf numFmtId="173" fontId="14" fillId="0" borderId="9" xfId="0" applyFont="true" applyBorder="true" applyAlignment="true" applyProtection="false">
      <alignment horizontal="general" vertical="bottom" textRotation="0" wrapText="false" indent="0" shrinkToFit="false"/>
      <protection locked="true" hidden="false"/>
    </xf>
    <xf numFmtId="168" fontId="18" fillId="4" borderId="7" xfId="0" applyFont="true" applyBorder="true" applyAlignment="true" applyProtection="false">
      <alignment horizontal="general" vertical="bottom" textRotation="0" wrapText="false" indent="0" shrinkToFit="false"/>
      <protection locked="true" hidden="false"/>
    </xf>
    <xf numFmtId="164" fontId="30" fillId="0" borderId="0" xfId="0" applyFont="true" applyBorder="true" applyAlignment="true" applyProtection="false">
      <alignment horizontal="center" vertical="bottom" textRotation="0" wrapText="false" indent="0" shrinkToFit="false"/>
      <protection locked="true" hidden="false"/>
    </xf>
    <xf numFmtId="164" fontId="12" fillId="2" borderId="0" xfId="0" applyFont="true" applyBorder="false" applyAlignment="true" applyProtection="false">
      <alignment horizontal="center" vertical="center" textRotation="0" wrapText="true" indent="0" shrinkToFit="false"/>
      <protection locked="true" hidden="false"/>
    </xf>
    <xf numFmtId="164" fontId="12" fillId="2" borderId="0" xfId="0" applyFont="true" applyBorder="false" applyAlignment="true" applyProtection="false">
      <alignment horizontal="left" vertical="center" textRotation="0" wrapText="true" indent="0" shrinkToFit="false"/>
      <protection locked="true" hidden="false"/>
    </xf>
    <xf numFmtId="175" fontId="13" fillId="0" borderId="0" xfId="0" applyFont="true" applyBorder="false" applyAlignment="true" applyProtection="false">
      <alignment horizontal="general" vertical="bottom" textRotation="0" wrapText="false" indent="0" shrinkToFit="false"/>
      <protection locked="true" hidden="false"/>
    </xf>
    <xf numFmtId="172" fontId="18" fillId="0" borderId="0" xfId="0" applyFont="true" applyBorder="false" applyAlignment="true" applyProtection="false">
      <alignment horizontal="general" vertical="bottom" textRotation="0" wrapText="false" indent="0" shrinkToFit="false"/>
      <protection locked="true" hidden="false"/>
    </xf>
    <xf numFmtId="180" fontId="13" fillId="0" borderId="0" xfId="0" applyFont="tru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76" fontId="13" fillId="4"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70" fontId="13" fillId="0" borderId="0" xfId="0" applyFont="true" applyBorder="fals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center" vertical="center" textRotation="0" wrapText="tru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3B3B3"/>
      <rgbColor rgb="FF636362"/>
      <rgbColor rgb="FF9999FF"/>
      <rgbColor rgb="FF953735"/>
      <rgbColor rgb="FFEBF1DE"/>
      <rgbColor rgb="FFCCFFFF"/>
      <rgbColor rgb="FF660066"/>
      <rgbColor rgb="FFD99694"/>
      <rgbColor rgb="FF0066CC"/>
      <rgbColor rgb="FFD9D9D9"/>
      <rgbColor rgb="FF000080"/>
      <rgbColor rgb="FFFF00FF"/>
      <rgbColor rgb="FFFFFF00"/>
      <rgbColor rgb="FF00FFFF"/>
      <rgbColor rgb="FF800080"/>
      <rgbColor rgb="FF800000"/>
      <rgbColor rgb="FF008080"/>
      <rgbColor rgb="FF0000FF"/>
      <rgbColor rgb="FF00CCFF"/>
      <rgbColor rgb="FFCCFFFF"/>
      <rgbColor rgb="FFEEECE1"/>
      <rgbColor rgb="FFF2DCDB"/>
      <rgbColor rgb="FF99CCFF"/>
      <rgbColor rgb="FFFF99CC"/>
      <rgbColor rgb="FFCC99FF"/>
      <rgbColor rgb="FFE6B9B8"/>
      <rgbColor rgb="FF3366FF"/>
      <rgbColor rgb="FF33CCCC"/>
      <rgbColor rgb="FF99CC00"/>
      <rgbColor rgb="FFFFCC00"/>
      <rgbColor rgb="FFFF9900"/>
      <rgbColor rgb="FFFF6600"/>
      <rgbColor rgb="FF666666"/>
      <rgbColor rgb="FF969696"/>
      <rgbColor rgb="FF003366"/>
      <rgbColor rgb="FF339966"/>
      <rgbColor rgb="FF006100"/>
      <rgbColor rgb="FF333300"/>
      <rgbColor rgb="FF993300"/>
      <rgbColor rgb="FF993366"/>
      <rgbColor rgb="FF59595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fr-FR" sz="1800" spc="-1" strike="noStrike">
                <a:solidFill>
                  <a:srgbClr val="000000"/>
                </a:solidFill>
                <a:latin typeface="Calibri"/>
              </a:defRPr>
            </a:pPr>
            <a:r>
              <a:rPr b="1" lang="fr-FR" sz="1800" spc="-1" strike="noStrike">
                <a:solidFill>
                  <a:srgbClr val="000000"/>
                </a:solidFill>
                <a:latin typeface="Calibri"/>
              </a:rPr>
              <a:t>Football field – valeur par action (€)</a:t>
            </a:r>
          </a:p>
        </c:rich>
      </c:tx>
      <c:overlay val="0"/>
      <c:spPr>
        <a:noFill/>
        <a:ln w="0">
          <a:noFill/>
        </a:ln>
      </c:spPr>
    </c:title>
    <c:autoTitleDeleted val="0"/>
    <c:plotArea>
      <c:layout>
        <c:manualLayout>
          <c:layoutTarget val="inner"/>
          <c:xMode val="edge"/>
          <c:yMode val="edge"/>
          <c:x val="0.279353976736875"/>
          <c:y val="0.286522148916117"/>
          <c:w val="0.694475007859164"/>
          <c:h val="0.680594826683422"/>
        </c:manualLayout>
      </c:layout>
      <c:barChart>
        <c:barDir val="bar"/>
        <c:grouping val="stacked"/>
        <c:varyColors val="0"/>
        <c:ser>
          <c:idx val="0"/>
          <c:order val="0"/>
          <c:tx>
            <c:strRef>
              <c:f>'Football field'!$B$5</c:f>
              <c:strCache>
                <c:ptCount val="1"/>
                <c:pt idx="0">
                  <c:v>Bas</c:v>
                </c:pt>
              </c:strCache>
            </c:strRef>
          </c:tx>
          <c:spPr>
            <a:noFill/>
            <a:ln w="0">
              <a:noFill/>
            </a:ln>
          </c:spPr>
          <c:invertIfNegative val="0"/>
          <c:dLbls>
            <c:txPr>
              <a:bodyPr wrap="squar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'Football field'!$A$6:$A$11</c:f>
              <c:strCache>
                <c:ptCount val="6"/>
                <c:pt idx="0">
                  <c:v>SOTP DCF (WACC ±0,3 pt ; g ±0,3 pt)</c:v>
                </c:pt>
                <c:pt idx="1">
                  <c:v>VE / EBITDA (Q1 à Q3 des pairs)</c:v>
                </c:pt>
                <c:pt idx="2">
                  <c:v>VE / EBIT (Q1 à Q3 des pairs)</c:v>
                </c:pt>
                <c:pt idx="3">
                  <c:v>PER (Q1 à Q3 des pairs)</c:v>
                </c:pt>
                <c:pt idx="4">
                  <c:v>Objectifs des analystes (fourchette resserrée)</c:v>
                </c:pt>
                <c:pt idx="5">
                  <c:v>Cours actuel</c:v>
                </c:pt>
              </c:strCache>
            </c:strRef>
          </c:cat>
          <c:val>
            <c:numRef>
              <c:f>'Football field'!$B$6:$B$11</c:f>
              <c:numCache>
                <c:formatCode>0</c:formatCode>
                <c:ptCount val="6"/>
                <c:pt idx="0">
                  <c:v>169.426414592381</c:v>
                </c:pt>
                <c:pt idx="1">
                  <c:v>78.277693723187</c:v>
                </c:pt>
                <c:pt idx="2">
                  <c:v>117.417494243919</c:v>
                </c:pt>
                <c:pt idx="3">
                  <c:v>137.773150954927</c:v>
                </c:pt>
                <c:pt idx="4">
                  <c:v>145</c:v>
                </c:pt>
                <c:pt idx="5">
                  <c:v>97.72</c:v>
                </c:pt>
              </c:numCache>
            </c:numRef>
          </c:val>
        </c:ser>
        <c:ser>
          <c:idx val="1"/>
          <c:order val="1"/>
          <c:tx>
            <c:strRef>
              <c:f>'Football field'!$D$5</c:f>
              <c:strCache>
                <c:ptCount val="1"/>
                <c:pt idx="0">
                  <c:v>Écart (graphique)</c:v>
                </c:pt>
              </c:strCache>
            </c:strRef>
          </c:tx>
          <c:spPr>
            <a:solidFill>
              <a:srgbClr val="c00000"/>
            </a:solidFill>
            <a:ln w="0">
              <a:noFill/>
            </a:ln>
          </c:spPr>
          <c:invertIfNegative val="0"/>
          <c:dLbls>
            <c:txPr>
              <a:bodyPr wrap="squar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'Football field'!$A$6:$A$11</c:f>
              <c:strCache>
                <c:ptCount val="6"/>
                <c:pt idx="0">
                  <c:v>SOTP DCF (WACC ±0,3 pt ; g ±0,3 pt)</c:v>
                </c:pt>
                <c:pt idx="1">
                  <c:v>VE / EBITDA (Q1 à Q3 des pairs)</c:v>
                </c:pt>
                <c:pt idx="2">
                  <c:v>VE / EBIT (Q1 à Q3 des pairs)</c:v>
                </c:pt>
                <c:pt idx="3">
                  <c:v>PER (Q1 à Q3 des pairs)</c:v>
                </c:pt>
                <c:pt idx="4">
                  <c:v>Objectifs des analystes (fourchette resserrée)</c:v>
                </c:pt>
                <c:pt idx="5">
                  <c:v>Cours actuel</c:v>
                </c:pt>
              </c:strCache>
            </c:strRef>
          </c:cat>
          <c:val>
            <c:numRef>
              <c:f>'Football field'!$D$6:$D$11</c:f>
              <c:numCache>
                <c:formatCode>0</c:formatCode>
                <c:ptCount val="6"/>
                <c:pt idx="0">
                  <c:v>17.9597385267312</c:v>
                </c:pt>
                <c:pt idx="1">
                  <c:v>273.963676813517</c:v>
                </c:pt>
                <c:pt idx="2">
                  <c:v>144.012972298463</c:v>
                </c:pt>
                <c:pt idx="3">
                  <c:v>47.8487968178732</c:v>
                </c:pt>
                <c:pt idx="4">
                  <c:v>35</c:v>
                </c:pt>
                <c:pt idx="5">
                  <c:v>2</c:v>
                </c:pt>
              </c:numCache>
            </c:numRef>
          </c:val>
        </c:ser>
        <c:gapWidth val="150"/>
        <c:overlap val="100"/>
        <c:axId val="38518071"/>
        <c:axId val="2641201"/>
      </c:barChart>
      <c:catAx>
        <c:axId val="38518071"/>
        <c:scaling>
          <c:orientation val="maxMin"/>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641201"/>
        <c:crosses val="autoZero"/>
        <c:auto val="1"/>
        <c:lblAlgn val="ctr"/>
        <c:lblOffset val="100"/>
        <c:noMultiLvlLbl val="0"/>
      </c:catAx>
      <c:valAx>
        <c:axId val="2641201"/>
        <c:scaling>
          <c:orientation val="minMax"/>
          <c:max val="240"/>
          <c:min val="60"/>
        </c:scaling>
        <c:delete val="0"/>
        <c:axPos val="l"/>
        <c:majorGridlines>
          <c:spPr>
            <a:ln w="0">
              <a:solidFill>
                <a:srgbClr val="b3b3b3"/>
              </a:solidFill>
            </a:ln>
          </c:spPr>
        </c:majorGridlines>
        <c:title>
          <c:tx>
            <c:rich>
              <a:bodyPr rot="0"/>
              <a:lstStyle/>
              <a:p>
                <a:pPr>
                  <a:defRPr b="1" lang="fr-FR" sz="1000" spc="-1" strike="noStrike">
                    <a:solidFill>
                      <a:srgbClr val="000000"/>
                    </a:solidFill>
                    <a:latin typeface="Calibri"/>
                  </a:defRPr>
                </a:pPr>
                <a:r>
                  <a:rPr b="1" lang="fr-FR" sz="1000" spc="-1" strike="noStrike">
                    <a:solidFill>
                      <a:srgbClr val="000000"/>
                    </a:solidFill>
                    <a:latin typeface="Calibri"/>
                  </a:rPr>
                  <a:t>€ par action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8518071"/>
        <c:crosses val="autoZero"/>
        <c:crossBetween val="between"/>
        <c:majorUnit val="20"/>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14</xdr:row>
      <xdr:rowOff>0</xdr:rowOff>
    </xdr:from>
    <xdr:to>
      <xdr:col>8</xdr:col>
      <xdr:colOff>5400</xdr:colOff>
      <xdr:row>32</xdr:row>
      <xdr:rowOff>180000</xdr:rowOff>
    </xdr:to>
    <xdr:graphicFrame>
      <xdr:nvGraphicFramePr>
        <xdr:cNvPr id="0" name="Chart 1"/>
        <xdr:cNvGraphicFramePr/>
      </xdr:nvGraphicFramePr>
      <xdr:xfrm>
        <a:off x="0" y="2629080"/>
        <a:ext cx="9160920" cy="3437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eiffage.com/finance/document-d-enregistrement-universel" TargetMode="External"/><Relationship Id="rId2" Type="http://schemas.openxmlformats.org/officeDocument/2006/relationships/hyperlink" Target="https://www.eiffage.com/files/live/sites/eiffagev2/files/Finance/R&#233;sultats/2026/Comptesconsolidesau%2031.12.25v2.pdf2031.12.25v2.pdf" TargetMode="External"/><Relationship Id="rId3" Type="http://schemas.openxmlformats.org/officeDocument/2006/relationships/hyperlink" Target="https://www.vinci.com/finances/resultats-et-chiffres-cles/resultats-annuels-2025" TargetMode="External"/><Relationship Id="rId4" Type="http://schemas.openxmlformats.org/officeDocument/2006/relationships/hyperlink" Target="https://www.hochtief.com/news-media/publications" TargetMode="External"/><Relationship Id="rId5" Type="http://schemas.openxmlformats.org/officeDocument/2006/relationships/hyperlink" Target="https://www.bouygues.com/app/uploads/2026/03/bouygues_deu_2025_uk_web.pdf" TargetMode="External"/><Relationship Id="rId6" Type="http://schemas.openxmlformats.org/officeDocument/2006/relationships/hyperlink" Target="https://www.strabag.com/en/investor-relations-en/financial-publications/results-and-reports/2025-1" TargetMode="External"/><Relationship Id="rId7" Type="http://schemas.openxmlformats.org/officeDocument/2006/relationships/hyperlink" Target="https://www.skanska.com/group/en/investors/financial-reports/annual-reports" TargetMode="External"/><Relationship Id="rId8" Type="http://schemas.openxmlformats.org/officeDocument/2006/relationships/hyperlink" Target="https://www.ferrovial.com/en/ir-shareholders/financial-information/integrated-annual-report/" TargetMode="External"/><Relationship Id="rId9" Type="http://schemas.openxmlformats.org/officeDocument/2006/relationships/hyperlink" Target="https://pages.stern.nyu.edu/~adamodar/New_Home_Page/datacurrent.html" TargetMode="External"/><Relationship Id="rId10" Type="http://schemas.openxmlformats.org/officeDocument/2006/relationships/hyperlink" Target="https://www.aft.gouv.fr/fr/principaux-chiffres-oat" TargetMode="External"/><Relationship Id="rId11" Type="http://schemas.openxmlformats.org/officeDocument/2006/relationships/hyperlink" Target="https://www.boursorama.com/cours/1rPFGRMC/" TargetMode="External"/><Relationship Id="rId12" Type="http://schemas.openxmlformats.org/officeDocument/2006/relationships/hyperlink" Target="https://www.ideal-investisseur.fr/actions/eiffage-FR0000130452.html" TargetMode="Externa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EECE1"/>
    <pageSetUpPr fitToPage="false"/>
  </sheetPr>
  <dimension ref="A1:D109"/>
  <sheetViews>
    <sheetView showFormulas="false" showGridLines="false" showRowColHeaders="true" showZeros="true" rightToLeft="false" tabSelected="true" showOutlineSymbols="true" defaultGridColor="true" view="normal" topLeftCell="A76" colorId="64" zoomScale="40" zoomScaleNormal="40" zoomScalePageLayoutView="100" workbookViewId="0">
      <selection pane="topLeft" activeCell="L100" activeCellId="0" sqref="L100"/>
    </sheetView>
  </sheetViews>
  <sheetFormatPr defaultColWidth="8.6328125" defaultRowHeight="14.25" zeroHeight="false" outlineLevelRow="0" outlineLevelCol="0"/>
  <cols>
    <col collapsed="false" customWidth="true" hidden="false" outlineLevel="0" max="1" min="1" style="1" width="40"/>
    <col collapsed="false" customWidth="true" hidden="false" outlineLevel="0" max="2" min="2" style="1" width="16"/>
    <col collapsed="false" customWidth="true" hidden="false" outlineLevel="0" max="3" min="3" style="1" width="86"/>
    <col collapsed="false" customWidth="true" hidden="false" outlineLevel="0" max="4" min="4" style="1" width="46"/>
  </cols>
  <sheetData>
    <row r="1" customFormat="false" ht="17.25" hidden="false" customHeight="true" outlineLevel="0" collapsed="false">
      <c r="A1" s="2" t="s">
        <v>0</v>
      </c>
    </row>
    <row r="3" customFormat="false" ht="15" hidden="false" customHeight="true" outlineLevel="0" collapsed="false">
      <c r="A3" s="3" t="s">
        <v>1</v>
      </c>
      <c r="B3" s="3"/>
      <c r="C3" s="3"/>
      <c r="D3" s="4"/>
    </row>
    <row r="4" customFormat="false" ht="15" hidden="false" customHeight="true" outlineLevel="0" collapsed="false">
      <c r="A4" s="3" t="s">
        <v>2</v>
      </c>
      <c r="B4" s="3"/>
      <c r="C4" s="3"/>
      <c r="D4" s="5"/>
    </row>
    <row r="5" customFormat="false" ht="14.25" hidden="false" customHeight="true" outlineLevel="0" collapsed="false">
      <c r="A5" s="3" t="s">
        <v>3</v>
      </c>
      <c r="B5" s="3"/>
      <c r="C5" s="3"/>
      <c r="D5" s="3"/>
    </row>
    <row r="6" customFormat="false" ht="15" hidden="false" customHeight="true" outlineLevel="0" collapsed="false">
      <c r="A6" s="3" t="s">
        <v>4</v>
      </c>
      <c r="B6" s="3"/>
      <c r="C6" s="3"/>
      <c r="D6" s="5"/>
    </row>
    <row r="7" customFormat="false" ht="15" hidden="false" customHeight="true" outlineLevel="0" collapsed="false">
      <c r="A7" s="3" t="s">
        <v>5</v>
      </c>
      <c r="B7" s="3"/>
      <c r="C7" s="3"/>
      <c r="D7" s="5"/>
    </row>
    <row r="8" customFormat="false" ht="15" hidden="false" customHeight="true" outlineLevel="0" collapsed="false">
      <c r="A8" s="3" t="s">
        <v>6</v>
      </c>
      <c r="B8" s="3"/>
      <c r="C8" s="3"/>
      <c r="D8" s="5"/>
    </row>
    <row r="9" customFormat="false" ht="14.25" hidden="false" customHeight="true" outlineLevel="0" collapsed="false">
      <c r="A9" s="6" t="s">
        <v>7</v>
      </c>
      <c r="B9" s="6"/>
      <c r="C9" s="6"/>
      <c r="D9" s="6"/>
    </row>
    <row r="11" customFormat="false" ht="48.75" hidden="false" customHeight="true" outlineLevel="0" collapsed="false">
      <c r="A11" s="7" t="s">
        <v>8</v>
      </c>
      <c r="B11" s="7"/>
      <c r="C11" s="7"/>
      <c r="D11" s="8"/>
    </row>
    <row r="12" customFormat="false" ht="14.25" hidden="false" customHeight="true" outlineLevel="0" collapsed="false">
      <c r="A12" s="8" t="s">
        <v>9</v>
      </c>
      <c r="B12" s="8"/>
      <c r="C12" s="8"/>
      <c r="D12" s="8"/>
    </row>
    <row r="13" customFormat="false" ht="14.25" hidden="false" customHeight="true" outlineLevel="0" collapsed="false">
      <c r="A13" s="9" t="s">
        <v>10</v>
      </c>
      <c r="B13" s="8"/>
      <c r="C13" s="8"/>
      <c r="D13" s="8"/>
    </row>
    <row r="14" customFormat="false" ht="14.25" hidden="false" customHeight="true" outlineLevel="0" collapsed="false">
      <c r="A14" s="9" t="s">
        <v>11</v>
      </c>
      <c r="B14" s="8"/>
      <c r="C14" s="8"/>
      <c r="D14" s="8"/>
    </row>
    <row r="15" customFormat="false" ht="14.25" hidden="false" customHeight="true" outlineLevel="0" collapsed="false">
      <c r="A15" s="9" t="s">
        <v>12</v>
      </c>
      <c r="B15" s="8"/>
      <c r="C15" s="8"/>
      <c r="D15" s="8"/>
    </row>
    <row r="16" customFormat="false" ht="14.25" hidden="false" customHeight="true" outlineLevel="0" collapsed="false">
      <c r="A16" s="9" t="s">
        <v>13</v>
      </c>
      <c r="B16" s="8"/>
      <c r="C16" s="8"/>
      <c r="D16" s="8"/>
    </row>
    <row r="17" customFormat="false" ht="14.25" hidden="false" customHeight="true" outlineLevel="0" collapsed="false">
      <c r="A17" s="9" t="s">
        <v>14</v>
      </c>
      <c r="B17" s="8"/>
      <c r="C17" s="8"/>
      <c r="D17" s="8"/>
    </row>
    <row r="18" customFormat="false" ht="14.25" hidden="false" customHeight="true" outlineLevel="0" collapsed="false">
      <c r="A18" s="9" t="s">
        <v>15</v>
      </c>
      <c r="B18" s="8"/>
      <c r="C18" s="8"/>
      <c r="D18" s="8"/>
    </row>
    <row r="19" customFormat="false" ht="14.25" hidden="false" customHeight="true" outlineLevel="0" collapsed="false">
      <c r="A19" s="9" t="s">
        <v>16</v>
      </c>
      <c r="B19" s="8"/>
      <c r="C19" s="8"/>
      <c r="D19" s="8"/>
    </row>
    <row r="20" customFormat="false" ht="14.25" hidden="false" customHeight="true" outlineLevel="0" collapsed="false">
      <c r="A20" s="9" t="s">
        <v>17</v>
      </c>
      <c r="B20" s="8"/>
      <c r="C20" s="8"/>
      <c r="D20" s="8"/>
    </row>
    <row r="21" customFormat="false" ht="14.25" hidden="false" customHeight="true" outlineLevel="0" collapsed="false">
      <c r="A21" s="9" t="s">
        <v>18</v>
      </c>
      <c r="B21" s="8"/>
      <c r="C21" s="8"/>
      <c r="D21" s="8"/>
    </row>
    <row r="22" customFormat="false" ht="14.25" hidden="false" customHeight="true" outlineLevel="0" collapsed="false">
      <c r="A22" s="9" t="s">
        <v>19</v>
      </c>
      <c r="B22" s="8"/>
      <c r="C22" s="8"/>
      <c r="D22" s="8"/>
    </row>
    <row r="23" customFormat="false" ht="14.25" hidden="false" customHeight="true" outlineLevel="0" collapsed="false">
      <c r="A23" s="9" t="s">
        <v>20</v>
      </c>
      <c r="B23" s="8"/>
      <c r="C23" s="8"/>
      <c r="D23" s="8"/>
    </row>
    <row r="24" customFormat="false" ht="14.25" hidden="false" customHeight="true" outlineLevel="0" collapsed="false">
      <c r="A24" s="9" t="s">
        <v>21</v>
      </c>
      <c r="B24" s="8"/>
      <c r="C24" s="8"/>
      <c r="D24" s="8"/>
    </row>
    <row r="26" customFormat="false" ht="14.25" hidden="false" customHeight="true" outlineLevel="0" collapsed="false">
      <c r="A26" s="10" t="s">
        <v>22</v>
      </c>
      <c r="B26" s="11"/>
      <c r="C26" s="11"/>
      <c r="D26" s="11"/>
    </row>
    <row r="27" customFormat="false" ht="16.5" hidden="false" customHeight="true" outlineLevel="0" collapsed="false">
      <c r="A27" s="12" t="s">
        <v>23</v>
      </c>
      <c r="B27" s="13"/>
      <c r="C27" s="12"/>
    </row>
    <row r="28" customFormat="false" ht="14.25" hidden="false" customHeight="true" outlineLevel="0" collapsed="false">
      <c r="A28" s="14" t="s">
        <v>24</v>
      </c>
      <c r="B28" s="15"/>
      <c r="C28" s="14" t="s">
        <v>25</v>
      </c>
    </row>
    <row r="29" customFormat="false" ht="14.25" hidden="false" customHeight="true" outlineLevel="0" collapsed="false">
      <c r="A29" s="14" t="s">
        <v>26</v>
      </c>
      <c r="B29" s="15"/>
      <c r="C29" s="14" t="s">
        <v>27</v>
      </c>
    </row>
    <row r="30" customFormat="false" ht="14.25" hidden="false" customHeight="true" outlineLevel="0" collapsed="false">
      <c r="A30" s="14" t="s">
        <v>28</v>
      </c>
      <c r="B30" s="15"/>
      <c r="C30" s="14" t="s">
        <v>29</v>
      </c>
    </row>
    <row r="31" customFormat="false" ht="14.25" hidden="false" customHeight="true" outlineLevel="0" collapsed="false">
      <c r="A31" s="14" t="s">
        <v>30</v>
      </c>
      <c r="B31" s="15"/>
      <c r="C31" s="14" t="s">
        <v>31</v>
      </c>
    </row>
    <row r="32" customFormat="false" ht="14.25" hidden="false" customHeight="true" outlineLevel="0" collapsed="false">
      <c r="A32" s="14" t="s">
        <v>32</v>
      </c>
      <c r="B32" s="15"/>
      <c r="C32" s="14" t="s">
        <v>33</v>
      </c>
    </row>
    <row r="33" customFormat="false" ht="14.25" hidden="false" customHeight="true" outlineLevel="0" collapsed="false">
      <c r="A33" s="14" t="s">
        <v>34</v>
      </c>
      <c r="B33" s="15"/>
      <c r="C33" s="14" t="s">
        <v>35</v>
      </c>
    </row>
    <row r="34" customFormat="false" ht="14.25" hidden="false" customHeight="true" outlineLevel="0" collapsed="false">
      <c r="A34" s="14" t="s">
        <v>36</v>
      </c>
      <c r="B34" s="15"/>
      <c r="C34" s="14" t="s">
        <v>37</v>
      </c>
    </row>
    <row r="36" customFormat="false" ht="14.25" hidden="false" customHeight="true" outlineLevel="0" collapsed="false">
      <c r="A36" s="10" t="s">
        <v>38</v>
      </c>
      <c r="B36" s="11"/>
      <c r="C36" s="11"/>
      <c r="D36" s="11"/>
    </row>
    <row r="37" customFormat="false" ht="154.5" hidden="false" customHeight="true" outlineLevel="0" collapsed="false">
      <c r="A37" s="16" t="s">
        <v>39</v>
      </c>
      <c r="B37" s="16"/>
      <c r="C37" s="16"/>
      <c r="D37" s="16"/>
    </row>
    <row r="39" customFormat="false" ht="14.25" hidden="false" customHeight="true" outlineLevel="0" collapsed="false">
      <c r="A39" s="10" t="s">
        <v>40</v>
      </c>
      <c r="B39" s="11"/>
      <c r="C39" s="11"/>
      <c r="D39" s="11"/>
    </row>
    <row r="40" customFormat="false" ht="16.5" hidden="false" customHeight="true" outlineLevel="0" collapsed="false">
      <c r="A40" s="12" t="s">
        <v>41</v>
      </c>
      <c r="B40" s="13"/>
      <c r="C40" s="12" t="s">
        <v>42</v>
      </c>
    </row>
    <row r="41" customFormat="false" ht="58.5" hidden="false" customHeight="true" outlineLevel="0" collapsed="false">
      <c r="A41" s="14" t="s">
        <v>43</v>
      </c>
      <c r="B41" s="15"/>
      <c r="C41" s="14" t="s">
        <v>44</v>
      </c>
    </row>
    <row r="42" customFormat="false" ht="16.5" hidden="false" customHeight="true" outlineLevel="0" collapsed="false">
      <c r="A42" s="14" t="s">
        <v>45</v>
      </c>
      <c r="B42" s="15"/>
      <c r="C42" s="14" t="s">
        <v>46</v>
      </c>
    </row>
    <row r="43" customFormat="false" ht="45" hidden="false" customHeight="true" outlineLevel="0" collapsed="false">
      <c r="A43" s="14" t="s">
        <v>47</v>
      </c>
      <c r="B43" s="15"/>
      <c r="C43" s="14" t="s">
        <v>48</v>
      </c>
    </row>
    <row r="44" customFormat="false" ht="30.75" hidden="false" customHeight="true" outlineLevel="0" collapsed="false">
      <c r="A44" s="14" t="s">
        <v>49</v>
      </c>
      <c r="B44" s="15"/>
      <c r="C44" s="14" t="s">
        <v>50</v>
      </c>
    </row>
    <row r="45" customFormat="false" ht="45" hidden="false" customHeight="true" outlineLevel="0" collapsed="false">
      <c r="A45" s="14" t="s">
        <v>51</v>
      </c>
      <c r="B45" s="15"/>
      <c r="C45" s="14" t="s">
        <v>52</v>
      </c>
    </row>
    <row r="46" customFormat="false" ht="45" hidden="false" customHeight="true" outlineLevel="0" collapsed="false">
      <c r="A46" s="14" t="s">
        <v>53</v>
      </c>
      <c r="B46" s="15"/>
      <c r="C46" s="14" t="s">
        <v>54</v>
      </c>
    </row>
    <row r="47" customFormat="false" ht="45" hidden="false" customHeight="true" outlineLevel="0" collapsed="false">
      <c r="A47" s="14" t="s">
        <v>55</v>
      </c>
      <c r="B47" s="15"/>
      <c r="C47" s="14" t="s">
        <v>56</v>
      </c>
    </row>
    <row r="48" customFormat="false" ht="58.5" hidden="false" customHeight="true" outlineLevel="0" collapsed="false">
      <c r="A48" s="14" t="s">
        <v>57</v>
      </c>
      <c r="B48" s="15"/>
      <c r="C48" s="14" t="s">
        <v>58</v>
      </c>
    </row>
    <row r="49" customFormat="false" ht="45" hidden="false" customHeight="true" outlineLevel="0" collapsed="false">
      <c r="A49" s="14" t="s">
        <v>59</v>
      </c>
      <c r="B49" s="15"/>
      <c r="C49" s="14" t="s">
        <v>60</v>
      </c>
    </row>
    <row r="50" customFormat="false" ht="58.5" hidden="false" customHeight="true" outlineLevel="0" collapsed="false">
      <c r="A50" s="14" t="s">
        <v>61</v>
      </c>
      <c r="B50" s="15"/>
      <c r="C50" s="14" t="s">
        <v>62</v>
      </c>
    </row>
    <row r="51" customFormat="false" ht="30.75" hidden="false" customHeight="true" outlineLevel="0" collapsed="false">
      <c r="A51" s="14" t="s">
        <v>63</v>
      </c>
      <c r="B51" s="15"/>
      <c r="C51" s="14" t="s">
        <v>64</v>
      </c>
    </row>
    <row r="53" customFormat="false" ht="14.25" hidden="false" customHeight="true" outlineLevel="0" collapsed="false">
      <c r="A53" s="10" t="s">
        <v>65</v>
      </c>
      <c r="B53" s="11"/>
      <c r="C53" s="11"/>
      <c r="D53" s="11"/>
    </row>
    <row r="54" customFormat="false" ht="16.5" hidden="false" customHeight="true" outlineLevel="0" collapsed="false">
      <c r="A54" s="12" t="s">
        <v>66</v>
      </c>
      <c r="B54" s="13" t="s">
        <v>67</v>
      </c>
      <c r="C54" s="12" t="s">
        <v>68</v>
      </c>
      <c r="D54" s="1" t="s">
        <v>69</v>
      </c>
    </row>
    <row r="55" customFormat="false" ht="16.5" hidden="false" customHeight="true" outlineLevel="0" collapsed="false">
      <c r="A55" s="14" t="s">
        <v>70</v>
      </c>
      <c r="B55" s="17" t="n">
        <f aca="false">Hypothèses!B5</f>
        <v>0.04</v>
      </c>
      <c r="C55" s="14" t="s">
        <v>71</v>
      </c>
      <c r="D55" s="14" t="s">
        <v>72</v>
      </c>
    </row>
    <row r="56" customFormat="false" ht="16.5" hidden="false" customHeight="true" outlineLevel="0" collapsed="false">
      <c r="A56" s="14" t="s">
        <v>73</v>
      </c>
      <c r="B56" s="17" t="n">
        <f aca="false">Hypothèses!B6</f>
        <v>0.0494</v>
      </c>
      <c r="C56" s="14" t="s">
        <v>74</v>
      </c>
      <c r="D56" s="14" t="s">
        <v>75</v>
      </c>
    </row>
    <row r="57" customFormat="false" ht="30.75" hidden="false" customHeight="true" outlineLevel="0" collapsed="false">
      <c r="A57" s="14" t="s">
        <v>76</v>
      </c>
      <c r="B57" s="18" t="n">
        <f aca="false">Hypothèses!B7</f>
        <v>0.268</v>
      </c>
      <c r="C57" s="14" t="s">
        <v>77</v>
      </c>
      <c r="D57" s="14" t="s">
        <v>78</v>
      </c>
    </row>
    <row r="58" customFormat="false" ht="30.75" hidden="false" customHeight="true" outlineLevel="0" collapsed="false">
      <c r="A58" s="14" t="s">
        <v>79</v>
      </c>
      <c r="B58" s="18" t="n">
        <f aca="false">Hypothèses!B8</f>
        <v>0.291</v>
      </c>
      <c r="C58" s="14" t="s">
        <v>80</v>
      </c>
      <c r="D58" s="14" t="s">
        <v>81</v>
      </c>
    </row>
    <row r="59" customFormat="false" ht="16.5" hidden="false" customHeight="true" outlineLevel="0" collapsed="false">
      <c r="A59" s="14" t="s">
        <v>82</v>
      </c>
      <c r="B59" s="19" t="n">
        <f aca="false">Travaux!B5</f>
        <v>0.8</v>
      </c>
      <c r="C59" s="14" t="s">
        <v>83</v>
      </c>
      <c r="D59" s="14" t="s">
        <v>84</v>
      </c>
    </row>
    <row r="60" customFormat="false" ht="30.75" hidden="false" customHeight="true" outlineLevel="0" collapsed="false">
      <c r="A60" s="14" t="s">
        <v>85</v>
      </c>
      <c r="B60" s="19" t="n">
        <f aca="false">'Eiffarie (APRR-AREA-Aliaé)'!B5</f>
        <v>0.48</v>
      </c>
      <c r="C60" s="14" t="s">
        <v>86</v>
      </c>
      <c r="D60" s="14" t="s">
        <v>87</v>
      </c>
    </row>
    <row r="61" customFormat="false" ht="16.5" hidden="false" customHeight="true" outlineLevel="0" collapsed="false">
      <c r="A61" s="14" t="s">
        <v>88</v>
      </c>
      <c r="B61" s="19" t="n">
        <f aca="false">'Autres concessions'!B5</f>
        <v>0.54</v>
      </c>
      <c r="C61" s="14" t="s">
        <v>89</v>
      </c>
      <c r="D61" s="14" t="s">
        <v>90</v>
      </c>
    </row>
    <row r="62" customFormat="false" ht="16.5" hidden="false" customHeight="true" outlineLevel="0" collapsed="false">
      <c r="A62" s="14" t="s">
        <v>91</v>
      </c>
      <c r="B62" s="19" t="n">
        <f aca="false">Travaux!B6</f>
        <v>0</v>
      </c>
      <c r="C62" s="14" t="s">
        <v>92</v>
      </c>
      <c r="D62" s="14" t="s">
        <v>93</v>
      </c>
    </row>
    <row r="63" customFormat="false" ht="16.5" hidden="false" customHeight="true" outlineLevel="0" collapsed="false">
      <c r="A63" s="14" t="s">
        <v>94</v>
      </c>
      <c r="B63" s="19" t="n">
        <f aca="false">'Eiffarie (APRR-AREA-Aliaé)'!B6</f>
        <v>1.21050176193309</v>
      </c>
      <c r="C63" s="14" t="s">
        <v>95</v>
      </c>
      <c r="D63" s="14" t="s">
        <v>96</v>
      </c>
    </row>
    <row r="64" customFormat="false" ht="30.75" hidden="false" customHeight="true" outlineLevel="0" collapsed="false">
      <c r="A64" s="14" t="s">
        <v>97</v>
      </c>
      <c r="B64" s="19" t="n">
        <f aca="false">'Autres concessions'!B6</f>
        <v>1.21050176193309</v>
      </c>
      <c r="C64" s="14" t="s">
        <v>98</v>
      </c>
      <c r="D64" s="14" t="s">
        <v>99</v>
      </c>
    </row>
    <row r="65" customFormat="false" ht="30.75" hidden="false" customHeight="true" outlineLevel="0" collapsed="false">
      <c r="A65" s="14" t="s">
        <v>100</v>
      </c>
      <c r="B65" s="17" t="n">
        <f aca="false">Hypothèses!B25</f>
        <v>0.006</v>
      </c>
      <c r="C65" s="14" t="s">
        <v>101</v>
      </c>
      <c r="D65" s="14" t="s">
        <v>102</v>
      </c>
    </row>
    <row r="66" customFormat="false" ht="16.5" hidden="false" customHeight="true" outlineLevel="0" collapsed="false">
      <c r="A66" s="14" t="s">
        <v>103</v>
      </c>
      <c r="B66" s="17" t="n">
        <f aca="false">Hypothèses!B26</f>
        <v>0.008</v>
      </c>
      <c r="C66" s="14" t="s">
        <v>104</v>
      </c>
      <c r="D66" s="14" t="s">
        <v>105</v>
      </c>
    </row>
    <row r="67" customFormat="false" ht="16.5" hidden="false" customHeight="true" outlineLevel="0" collapsed="false">
      <c r="A67" s="14" t="s">
        <v>106</v>
      </c>
      <c r="B67" s="17" t="n">
        <f aca="false">Travaux!B13</f>
        <v>0.07952</v>
      </c>
      <c r="C67" s="14" t="s">
        <v>107</v>
      </c>
      <c r="D67" s="14" t="s">
        <v>108</v>
      </c>
    </row>
    <row r="68" customFormat="false" ht="16.5" hidden="false" customHeight="true" outlineLevel="0" collapsed="false">
      <c r="A68" s="14" t="s">
        <v>109</v>
      </c>
      <c r="B68" s="17" t="n">
        <f aca="false">'Eiffarie (APRR-AREA-Aliaé)'!B13</f>
        <v>0.055888680930491</v>
      </c>
      <c r="C68" s="14" t="s">
        <v>110</v>
      </c>
      <c r="D68" s="14" t="s">
        <v>108</v>
      </c>
    </row>
    <row r="69" customFormat="false" ht="16.5" hidden="false" customHeight="true" outlineLevel="0" collapsed="false">
      <c r="A69" s="14" t="s">
        <v>111</v>
      </c>
      <c r="B69" s="17" t="n">
        <f aca="false">'Autres concessions'!B13</f>
        <v>0.0600974207467171</v>
      </c>
      <c r="C69" s="14" t="s">
        <v>110</v>
      </c>
      <c r="D69" s="14" t="s">
        <v>108</v>
      </c>
    </row>
    <row r="70" customFormat="false" ht="30.75" hidden="false" customHeight="true" outlineLevel="0" collapsed="false">
      <c r="A70" s="14" t="s">
        <v>112</v>
      </c>
      <c r="B70" s="18" t="n">
        <f aca="false">Travaux!B17</f>
        <v>0.065</v>
      </c>
      <c r="C70" s="14" t="s">
        <v>113</v>
      </c>
      <c r="D70" s="14" t="s">
        <v>114</v>
      </c>
    </row>
    <row r="71" customFormat="false" ht="30.75" hidden="false" customHeight="true" outlineLevel="0" collapsed="false">
      <c r="A71" s="14" t="s">
        <v>115</v>
      </c>
      <c r="B71" s="17" t="n">
        <f aca="false">Travaux!C25</f>
        <v>0.0496</v>
      </c>
      <c r="C71" s="14" t="s">
        <v>116</v>
      </c>
      <c r="D71" s="14" t="s">
        <v>84</v>
      </c>
    </row>
    <row r="72" customFormat="false" ht="30.75" hidden="false" customHeight="true" outlineLevel="0" collapsed="false">
      <c r="A72" s="14" t="s">
        <v>117</v>
      </c>
      <c r="B72" s="18" t="n">
        <f aca="false">Travaux!B42</f>
        <v>0.009</v>
      </c>
      <c r="C72" s="14" t="s">
        <v>118</v>
      </c>
      <c r="D72" s="14" t="s">
        <v>119</v>
      </c>
    </row>
    <row r="73" customFormat="false" ht="16.5" hidden="false" customHeight="true" outlineLevel="0" collapsed="false">
      <c r="A73" s="14" t="s">
        <v>120</v>
      </c>
      <c r="B73" s="17" t="n">
        <f aca="false">Travaux!B18</f>
        <v>0.0365596437778299</v>
      </c>
      <c r="C73" s="14" t="s">
        <v>121</v>
      </c>
      <c r="D73" s="14" t="s">
        <v>122</v>
      </c>
    </row>
    <row r="74" customFormat="false" ht="30.75" hidden="false" customHeight="true" outlineLevel="0" collapsed="false">
      <c r="A74" s="14" t="s">
        <v>123</v>
      </c>
      <c r="B74" s="17" t="n">
        <f aca="false">Travaux!B19</f>
        <v>0.038</v>
      </c>
      <c r="C74" s="14" t="s">
        <v>124</v>
      </c>
      <c r="D74" s="14"/>
    </row>
    <row r="75" customFormat="false" ht="30.75" hidden="false" customHeight="true" outlineLevel="0" collapsed="false">
      <c r="A75" s="14" t="s">
        <v>125</v>
      </c>
      <c r="B75" s="18" t="n">
        <f aca="false">Travaux!B20</f>
        <v>0.13</v>
      </c>
      <c r="C75" s="14" t="s">
        <v>126</v>
      </c>
      <c r="D75" s="14" t="s">
        <v>127</v>
      </c>
    </row>
    <row r="76" customFormat="false" ht="30.75" hidden="false" customHeight="true" outlineLevel="0" collapsed="false">
      <c r="A76" s="14" t="s">
        <v>128</v>
      </c>
      <c r="B76" s="18" t="n">
        <f aca="false">'Eiffarie (APRR-AREA-Aliaé)'!B18</f>
        <v>0.703565595241764</v>
      </c>
      <c r="C76" s="14" t="s">
        <v>129</v>
      </c>
      <c r="D76" s="14" t="s">
        <v>130</v>
      </c>
    </row>
    <row r="77" customFormat="false" ht="30.75" hidden="false" customHeight="true" outlineLevel="0" collapsed="false">
      <c r="A77" s="14" t="s">
        <v>131</v>
      </c>
      <c r="B77" s="18" t="n">
        <f aca="false">'Eiffarie (APRR-AREA-Aliaé)'!B19</f>
        <v>0.189065918826466</v>
      </c>
      <c r="C77" s="14" t="s">
        <v>132</v>
      </c>
      <c r="D77" s="14" t="s">
        <v>130</v>
      </c>
    </row>
    <row r="78" customFormat="false" ht="16.5" hidden="false" customHeight="true" outlineLevel="0" collapsed="false">
      <c r="A78" s="14" t="s">
        <v>133</v>
      </c>
      <c r="B78" s="18" t="n">
        <f aca="false">'Eiffarie (APRR-AREA-Aliaé)'!B20</f>
        <v>0.0823137847083115</v>
      </c>
      <c r="C78" s="14" t="s">
        <v>134</v>
      </c>
      <c r="D78" s="14" t="s">
        <v>130</v>
      </c>
    </row>
    <row r="79" customFormat="false" ht="16.5" hidden="false" customHeight="true" outlineLevel="0" collapsed="false">
      <c r="A79" s="14" t="s">
        <v>135</v>
      </c>
      <c r="B79" s="18" t="n">
        <f aca="false">'Eiffarie (APRR-AREA-Aliaé)'!C26</f>
        <v>0.025</v>
      </c>
      <c r="C79" s="14" t="s">
        <v>136</v>
      </c>
      <c r="D79" s="14" t="s">
        <v>105</v>
      </c>
    </row>
    <row r="80" customFormat="false" ht="30.75" hidden="false" customHeight="true" outlineLevel="0" collapsed="false">
      <c r="A80" s="14" t="s">
        <v>137</v>
      </c>
      <c r="B80" s="18" t="n">
        <f aca="false">'Autres concessions'!B17</f>
        <v>0.514695923066504</v>
      </c>
      <c r="C80" s="14" t="s">
        <v>138</v>
      </c>
      <c r="D80" s="14" t="s">
        <v>122</v>
      </c>
    </row>
    <row r="81" customFormat="false" ht="16.5" hidden="false" customHeight="true" outlineLevel="0" collapsed="false">
      <c r="A81" s="14" t="s">
        <v>139</v>
      </c>
      <c r="B81" s="18" t="n">
        <f aca="false">'Autres concessions'!B42</f>
        <v>0.009</v>
      </c>
      <c r="C81" s="14" t="s">
        <v>140</v>
      </c>
      <c r="D81" s="14" t="s">
        <v>105</v>
      </c>
    </row>
    <row r="82" customFormat="false" ht="16.5" hidden="false" customHeight="true" outlineLevel="0" collapsed="false">
      <c r="A82" s="14" t="s">
        <v>141</v>
      </c>
      <c r="B82" s="20" t="n">
        <f aca="false">'Autres concessions'!B43</f>
        <v>2060</v>
      </c>
      <c r="C82" s="14" t="s">
        <v>142</v>
      </c>
      <c r="D82" s="14" t="s">
        <v>143</v>
      </c>
    </row>
    <row r="83" customFormat="false" ht="16.5" hidden="false" customHeight="true" outlineLevel="0" collapsed="false">
      <c r="A83" s="14" t="s">
        <v>144</v>
      </c>
      <c r="B83" s="18" t="n">
        <f aca="false">Hypothèses!B17</f>
        <v>0.525</v>
      </c>
      <c r="C83" s="14" t="s">
        <v>145</v>
      </c>
      <c r="D83" s="14" t="s">
        <v>146</v>
      </c>
    </row>
    <row r="84" customFormat="false" ht="16.5" hidden="false" customHeight="true" outlineLevel="0" collapsed="false">
      <c r="A84" s="14" t="s">
        <v>147</v>
      </c>
      <c r="B84" s="18" t="n">
        <f aca="false">Hypothèses!B18</f>
        <v>0.9</v>
      </c>
      <c r="C84" s="14" t="s">
        <v>148</v>
      </c>
      <c r="D84" s="14" t="s">
        <v>105</v>
      </c>
    </row>
    <row r="86" customFormat="false" ht="14.25" hidden="false" customHeight="true" outlineLevel="0" collapsed="false">
      <c r="A86" s="10" t="s">
        <v>149</v>
      </c>
      <c r="B86" s="11"/>
      <c r="C86" s="11"/>
      <c r="D86" s="11"/>
    </row>
    <row r="87" customFormat="false" ht="16.5" hidden="false" customHeight="true" outlineLevel="0" collapsed="false">
      <c r="A87" s="12" t="s">
        <v>150</v>
      </c>
      <c r="B87" s="13" t="s">
        <v>67</v>
      </c>
      <c r="C87" s="12" t="s">
        <v>151</v>
      </c>
    </row>
    <row r="88" customFormat="false" ht="16.5" hidden="false" customHeight="true" outlineLevel="0" collapsed="false">
      <c r="A88" s="14" t="s">
        <v>152</v>
      </c>
      <c r="B88" s="21" t="n">
        <f aca="false">SOTP!B5</f>
        <v>8026.13955394459</v>
      </c>
      <c r="C88" s="14" t="s">
        <v>153</v>
      </c>
    </row>
    <row r="89" customFormat="false" ht="16.5" hidden="false" customHeight="true" outlineLevel="0" collapsed="false">
      <c r="A89" s="14" t="s">
        <v>154</v>
      </c>
      <c r="B89" s="21" t="n">
        <f aca="false">SOTP!C5</f>
        <v>13021.9455766405</v>
      </c>
      <c r="C89" s="14" t="s">
        <v>155</v>
      </c>
    </row>
    <row r="90" customFormat="false" ht="16.5" hidden="false" customHeight="true" outlineLevel="0" collapsed="false">
      <c r="A90" s="14" t="s">
        <v>156</v>
      </c>
      <c r="B90" s="21" t="n">
        <f aca="false">SOTP!D5</f>
        <v>4856.40501661601</v>
      </c>
      <c r="C90" s="14" t="s">
        <v>157</v>
      </c>
    </row>
    <row r="91" customFormat="false" ht="30.75" hidden="false" customHeight="true" outlineLevel="0" collapsed="false">
      <c r="A91" s="14" t="s">
        <v>158</v>
      </c>
      <c r="B91" s="21" t="n">
        <f aca="false">SOTP!E15</f>
        <v>16908.2570890201</v>
      </c>
      <c r="C91" s="14"/>
    </row>
    <row r="92" customFormat="false" ht="16.5" hidden="false" customHeight="true" outlineLevel="0" collapsed="false">
      <c r="A92" s="14" t="s">
        <v>159</v>
      </c>
      <c r="B92" s="22" t="n">
        <f aca="false">SOTP!E17</f>
        <v>177.828638576718</v>
      </c>
      <c r="C92" s="14" t="s">
        <v>160</v>
      </c>
    </row>
    <row r="93" customFormat="false" ht="16.5" hidden="false" customHeight="true" outlineLevel="0" collapsed="false">
      <c r="A93" s="14" t="s">
        <v>161</v>
      </c>
      <c r="B93" s="19" t="n">
        <f aca="false">SOTP!E18</f>
        <v>98.72</v>
      </c>
      <c r="C93" s="14"/>
    </row>
    <row r="94" customFormat="false" ht="16.5" hidden="false" customHeight="true" outlineLevel="0" collapsed="false">
      <c r="A94" s="14" t="s">
        <v>162</v>
      </c>
      <c r="B94" s="23" t="n">
        <f aca="false">SOTP!E19</f>
        <v>0.801343583637747</v>
      </c>
      <c r="C94" s="14"/>
    </row>
    <row r="95" customFormat="false" ht="16.5" hidden="false" customHeight="true" outlineLevel="0" collapsed="false">
      <c r="A95" s="14" t="s">
        <v>163</v>
      </c>
      <c r="B95" s="20" t="n">
        <f aca="false">'Football field'!B6</f>
        <v>169.426414592381</v>
      </c>
      <c r="C95" s="14" t="s">
        <v>164</v>
      </c>
    </row>
    <row r="96" customFormat="false" ht="16.5" hidden="false" customHeight="true" outlineLevel="0" collapsed="false">
      <c r="A96" s="14" t="s">
        <v>165</v>
      </c>
      <c r="B96" s="20" t="n">
        <f aca="false">'Football field'!C6</f>
        <v>187.386153119112</v>
      </c>
      <c r="C96" s="14" t="s">
        <v>166</v>
      </c>
    </row>
    <row r="97" customFormat="false" ht="16.5" hidden="false" customHeight="true" outlineLevel="0" collapsed="false">
      <c r="A97" s="14" t="s">
        <v>167</v>
      </c>
      <c r="B97" s="24" t="str">
        <f aca="false">TEXT('Football field'!B7,"0")&amp;" – "&amp;TEXT('Football field'!C7,"0")</f>
        <v>78 – 352</v>
      </c>
      <c r="C97" s="14" t="s">
        <v>168</v>
      </c>
    </row>
    <row r="98" customFormat="false" ht="16.5" hidden="false" customHeight="true" outlineLevel="0" collapsed="false">
      <c r="A98" s="14" t="s">
        <v>169</v>
      </c>
      <c r="B98" s="24" t="str">
        <f aca="false">TEXT('Football field'!B9,"0")&amp;" – "&amp;TEXT('Football field'!C9,"0")</f>
        <v>138 – 186</v>
      </c>
      <c r="C98" s="14"/>
    </row>
    <row r="100" customFormat="false" ht="14.25" hidden="false" customHeight="true" outlineLevel="0" collapsed="false">
      <c r="A100" s="10" t="s">
        <v>170</v>
      </c>
      <c r="B100" s="11"/>
      <c r="C100" s="11"/>
      <c r="D100" s="11"/>
    </row>
    <row r="101" customFormat="false" ht="180" hidden="false" customHeight="true" outlineLevel="0" collapsed="false">
      <c r="A101" s="16" t="s">
        <v>171</v>
      </c>
      <c r="B101" s="16"/>
      <c r="C101" s="16"/>
      <c r="D101" s="16"/>
    </row>
    <row r="103" customFormat="false" ht="14.25" hidden="false" customHeight="true" outlineLevel="0" collapsed="false">
      <c r="A103" s="10" t="s">
        <v>172</v>
      </c>
      <c r="B103" s="11"/>
      <c r="C103" s="11"/>
      <c r="D103" s="11"/>
    </row>
    <row r="104" customFormat="false" ht="30.75" hidden="false" customHeight="true" outlineLevel="0" collapsed="false">
      <c r="A104" s="16" t="s">
        <v>173</v>
      </c>
      <c r="B104" s="16"/>
      <c r="C104" s="16"/>
      <c r="D104" s="16"/>
    </row>
    <row r="105" customFormat="false" ht="16.5" hidden="false" customHeight="true" outlineLevel="0" collapsed="false">
      <c r="A105" s="16" t="s">
        <v>174</v>
      </c>
      <c r="B105" s="16"/>
      <c r="C105" s="16"/>
      <c r="D105" s="16"/>
    </row>
    <row r="106" customFormat="false" ht="30.75" hidden="false" customHeight="true" outlineLevel="0" collapsed="false">
      <c r="A106" s="16" t="s">
        <v>175</v>
      </c>
      <c r="B106" s="16"/>
      <c r="C106" s="16"/>
      <c r="D106" s="16"/>
    </row>
    <row r="107" customFormat="false" ht="16.5" hidden="false" customHeight="true" outlineLevel="0" collapsed="false">
      <c r="A107" s="16" t="s">
        <v>176</v>
      </c>
      <c r="B107" s="16"/>
      <c r="C107" s="16"/>
      <c r="D107" s="16"/>
    </row>
    <row r="108" customFormat="false" ht="16.5" hidden="false" customHeight="true" outlineLevel="0" collapsed="false">
      <c r="A108" s="25"/>
      <c r="B108" s="25"/>
      <c r="C108" s="25"/>
      <c r="D108" s="25"/>
    </row>
    <row r="109" customFormat="false" ht="16.5" hidden="false" customHeight="true" outlineLevel="0" collapsed="false"/>
  </sheetData>
  <mergeCells count="14">
    <mergeCell ref="A3:C3"/>
    <mergeCell ref="A4:C4"/>
    <mergeCell ref="A5:D5"/>
    <mergeCell ref="A6:C6"/>
    <mergeCell ref="A7:C7"/>
    <mergeCell ref="A8:C8"/>
    <mergeCell ref="A9:D9"/>
    <mergeCell ref="A11:C11"/>
    <mergeCell ref="A37:D37"/>
    <mergeCell ref="A101:D101"/>
    <mergeCell ref="A104:D104"/>
    <mergeCell ref="A105:D105"/>
    <mergeCell ref="A106:D106"/>
    <mergeCell ref="A107:D107"/>
  </mergeCells>
  <hyperlinks>
    <hyperlink ref="A13" r:id="rId1" display="Eiffage, DEU 2025 à 2021"/>
    <hyperlink ref="A14" r:id="rId2" display="APRR, comptes consolidés 2025"/>
    <hyperlink ref="A15" r:id="rId3" display="VINCI, états financiers consolidés 2025"/>
    <hyperlink ref="A16" r:id="rId4" display="HOCHTIEF, rapport annuel 2025"/>
    <hyperlink ref="A17" r:id="rId5" display="Bouygues, DEU 2025"/>
    <hyperlink ref="A18" r:id="rId6" display="STRABAG, rapport annuel 2025"/>
    <hyperlink ref="A19" r:id="rId7" display="Skanska, rapport annuel 2025"/>
    <hyperlink ref="A20" r:id="rId8" display="Ferrovial, rapport annuel 2025"/>
    <hyperlink ref="A21" r:id="rId9" display="Damodaran, données financières actualisées"/>
    <hyperlink ref="A22" r:id="rId10" display="Agence France Trésor, données sur les OAT"/>
    <hyperlink ref="A23" r:id="rId11" display="Boursorama, cours de l’action Eiffage"/>
    <hyperlink ref="A24" r:id="rId12" display="Consensus, Ideal Investisseur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BF1DE"/>
    <pageSetUpPr fitToPage="false"/>
  </sheetPr>
  <dimension ref="A1:C75"/>
  <sheetViews>
    <sheetView showFormulas="false" showGridLines="true" showRowColHeaders="true" showZeros="true" rightToLeft="false" tabSelected="false" showOutlineSymbols="true" defaultGridColor="true" view="normal" topLeftCell="A34" colorId="64" zoomScale="85" zoomScaleNormal="85" zoomScalePageLayoutView="100" workbookViewId="0">
      <selection pane="topLeft" activeCell="C68" activeCellId="0" sqref="C68"/>
    </sheetView>
  </sheetViews>
  <sheetFormatPr defaultColWidth="8.6328125" defaultRowHeight="14.25" zeroHeight="false" outlineLevelRow="0" outlineLevelCol="0"/>
  <cols>
    <col collapsed="false" customWidth="true" hidden="false" outlineLevel="0" max="1" min="1" style="1" width="58"/>
    <col collapsed="false" customWidth="true" hidden="false" outlineLevel="0" max="2" min="2" style="1" width="14"/>
    <col collapsed="false" customWidth="true" hidden="false" outlineLevel="0" max="3" min="3" style="1" width="95"/>
  </cols>
  <sheetData>
    <row r="1" customFormat="false" ht="15" hidden="false" customHeight="true" outlineLevel="0" collapsed="false">
      <c r="A1" s="26" t="s">
        <v>177</v>
      </c>
    </row>
    <row r="2" customFormat="false" ht="15" hidden="false" customHeight="true" outlineLevel="0" collapsed="false">
      <c r="A2" s="26"/>
    </row>
    <row r="3" customFormat="false" ht="15" hidden="false" customHeight="true" outlineLevel="0" collapsed="false">
      <c r="A3" s="27" t="s">
        <v>178</v>
      </c>
    </row>
    <row r="4" customFormat="false" ht="15" hidden="false" customHeight="true" outlineLevel="0" collapsed="false">
      <c r="A4" s="28" t="s">
        <v>179</v>
      </c>
      <c r="B4" s="28" t="s">
        <v>67</v>
      </c>
      <c r="C4" s="28" t="s">
        <v>180</v>
      </c>
    </row>
    <row r="5" customFormat="false" ht="15" hidden="false" customHeight="true" outlineLevel="0" collapsed="false">
      <c r="A5" s="29" t="s">
        <v>181</v>
      </c>
      <c r="B5" s="30"/>
      <c r="C5" s="30"/>
    </row>
    <row r="6" customFormat="false" ht="15" hidden="false" customHeight="true" outlineLevel="0" collapsed="false">
      <c r="A6" s="31" t="s">
        <v>182</v>
      </c>
      <c r="B6" s="32" t="n">
        <v>152</v>
      </c>
      <c r="C6" s="33" t="s">
        <v>183</v>
      </c>
    </row>
    <row r="7" customFormat="false" ht="15" hidden="false" customHeight="true" outlineLevel="0" collapsed="false">
      <c r="A7" s="31" t="s">
        <v>184</v>
      </c>
      <c r="B7" s="32" t="n">
        <v>321</v>
      </c>
      <c r="C7" s="33" t="s">
        <v>185</v>
      </c>
    </row>
    <row r="8" customFormat="false" ht="15" hidden="false" customHeight="true" outlineLevel="0" collapsed="false">
      <c r="A8" s="31" t="s">
        <v>186</v>
      </c>
      <c r="B8" s="32" t="n">
        <v>500</v>
      </c>
      <c r="C8" s="33" t="s">
        <v>185</v>
      </c>
    </row>
    <row r="9" customFormat="false" ht="15" hidden="false" customHeight="true" outlineLevel="0" collapsed="false">
      <c r="A9" s="31" t="s">
        <v>187</v>
      </c>
      <c r="B9" s="32" t="n">
        <v>1712</v>
      </c>
      <c r="C9" s="33" t="s">
        <v>185</v>
      </c>
    </row>
    <row r="10" customFormat="false" ht="15" hidden="false" customHeight="true" outlineLevel="0" collapsed="false">
      <c r="A10" s="31" t="s">
        <v>188</v>
      </c>
      <c r="B10" s="32" t="n">
        <v>-82</v>
      </c>
      <c r="C10" s="33" t="s">
        <v>185</v>
      </c>
    </row>
    <row r="11" customFormat="false" ht="15" hidden="false" customHeight="true" outlineLevel="0" collapsed="false">
      <c r="A11" s="31" t="s">
        <v>189</v>
      </c>
      <c r="B11" s="34" t="n">
        <f aca="false">SUM(B6,B7,B8,B9,B10)</f>
        <v>2603</v>
      </c>
      <c r="C11" s="33" t="s">
        <v>190</v>
      </c>
    </row>
    <row r="12" customFormat="false" ht="15" hidden="false" customHeight="true" outlineLevel="0" collapsed="false">
      <c r="A12" s="29" t="s">
        <v>191</v>
      </c>
      <c r="B12" s="30"/>
      <c r="C12" s="30"/>
    </row>
    <row r="13" customFormat="false" ht="15" hidden="false" customHeight="true" outlineLevel="0" collapsed="false">
      <c r="A13" s="31" t="s">
        <v>192</v>
      </c>
      <c r="B13" s="32" t="n">
        <v>68</v>
      </c>
      <c r="C13" s="33" t="s">
        <v>193</v>
      </c>
    </row>
    <row r="14" customFormat="false" ht="15" hidden="false" customHeight="true" outlineLevel="0" collapsed="false">
      <c r="A14" s="31" t="s">
        <v>194</v>
      </c>
      <c r="B14" s="32" t="n">
        <v>455</v>
      </c>
      <c r="C14" s="33" t="s">
        <v>185</v>
      </c>
    </row>
    <row r="15" customFormat="false" ht="15" hidden="false" customHeight="true" outlineLevel="0" collapsed="false">
      <c r="A15" s="31" t="s">
        <v>195</v>
      </c>
      <c r="B15" s="32" t="n">
        <v>257</v>
      </c>
      <c r="C15" s="33" t="s">
        <v>185</v>
      </c>
    </row>
    <row r="16" customFormat="false" ht="15" hidden="false" customHeight="true" outlineLevel="0" collapsed="false">
      <c r="A16" s="31" t="s">
        <v>196</v>
      </c>
      <c r="B16" s="32" t="n">
        <v>951</v>
      </c>
      <c r="C16" s="33" t="s">
        <v>197</v>
      </c>
    </row>
    <row r="17" customFormat="false" ht="15" hidden="false" customHeight="true" outlineLevel="0" collapsed="false">
      <c r="A17" s="31" t="s">
        <v>198</v>
      </c>
      <c r="B17" s="32" t="n">
        <v>60</v>
      </c>
      <c r="C17" s="33" t="s">
        <v>185</v>
      </c>
    </row>
    <row r="18" customFormat="false" ht="15" hidden="false" customHeight="true" outlineLevel="0" collapsed="false">
      <c r="A18" s="31" t="s">
        <v>199</v>
      </c>
      <c r="B18" s="34" t="n">
        <f aca="false">SUM(B13,B14,B15,B16,B17)</f>
        <v>1791</v>
      </c>
      <c r="C18" s="33" t="s">
        <v>190</v>
      </c>
    </row>
    <row r="19" customFormat="false" ht="15" hidden="false" customHeight="true" outlineLevel="0" collapsed="false">
      <c r="A19" s="31" t="s">
        <v>200</v>
      </c>
      <c r="B19" s="34" t="n">
        <f aca="false">$B$11+$B$18</f>
        <v>4394</v>
      </c>
      <c r="C19" s="33" t="s">
        <v>190</v>
      </c>
    </row>
    <row r="20" customFormat="false" ht="15" hidden="false" customHeight="true" outlineLevel="0" collapsed="false">
      <c r="A20" s="31" t="s">
        <v>201</v>
      </c>
      <c r="B20" s="32" t="n">
        <v>2545</v>
      </c>
      <c r="C20" s="33" t="s">
        <v>202</v>
      </c>
    </row>
    <row r="21" customFormat="false" ht="15" hidden="false" customHeight="true" outlineLevel="0" collapsed="false">
      <c r="A21" s="29" t="s">
        <v>203</v>
      </c>
      <c r="B21" s="30"/>
      <c r="C21" s="30"/>
    </row>
    <row r="22" customFormat="false" ht="15" hidden="false" customHeight="true" outlineLevel="0" collapsed="false">
      <c r="A22" s="31" t="s">
        <v>204</v>
      </c>
      <c r="B22" s="32" t="n">
        <v>4091</v>
      </c>
      <c r="C22" s="33" t="s">
        <v>205</v>
      </c>
    </row>
    <row r="23" customFormat="false" ht="15" hidden="false" customHeight="true" outlineLevel="0" collapsed="false">
      <c r="A23" s="31" t="s">
        <v>206</v>
      </c>
      <c r="B23" s="32" t="n">
        <v>9187</v>
      </c>
      <c r="C23" s="33" t="s">
        <v>185</v>
      </c>
    </row>
    <row r="24" customFormat="false" ht="15" hidden="false" customHeight="true" outlineLevel="0" collapsed="false">
      <c r="A24" s="31" t="s">
        <v>207</v>
      </c>
      <c r="B24" s="32" t="n">
        <v>8057</v>
      </c>
      <c r="C24" s="33" t="s">
        <v>185</v>
      </c>
    </row>
    <row r="25" customFormat="false" ht="15" hidden="false" customHeight="true" outlineLevel="0" collapsed="false">
      <c r="A25" s="31" t="s">
        <v>208</v>
      </c>
      <c r="B25" s="34" t="n">
        <f aca="false">$B$22+$B$23+$B$24</f>
        <v>21335</v>
      </c>
      <c r="C25" s="33" t="s">
        <v>190</v>
      </c>
    </row>
    <row r="26" customFormat="false" ht="15" hidden="false" customHeight="true" outlineLevel="0" collapsed="false">
      <c r="A26" s="31" t="s">
        <v>209</v>
      </c>
      <c r="B26" s="32" t="n">
        <v>3978</v>
      </c>
      <c r="C26" s="33" t="s">
        <v>210</v>
      </c>
    </row>
    <row r="27" customFormat="false" ht="15" hidden="false" customHeight="true" outlineLevel="0" collapsed="false">
      <c r="A27" s="31" t="s">
        <v>211</v>
      </c>
      <c r="B27" s="34" t="n">
        <f aca="false">$B$25+$B$26</f>
        <v>25313</v>
      </c>
      <c r="C27" s="33" t="s">
        <v>190</v>
      </c>
    </row>
    <row r="28" customFormat="false" ht="15" hidden="false" customHeight="true" outlineLevel="0" collapsed="false">
      <c r="A28" s="31" t="s">
        <v>212</v>
      </c>
      <c r="B28" s="32" t="n">
        <v>3183</v>
      </c>
      <c r="C28" s="33" t="s">
        <v>213</v>
      </c>
    </row>
    <row r="29" customFormat="false" ht="15" hidden="false" customHeight="true" outlineLevel="0" collapsed="false">
      <c r="A29" s="31" t="s">
        <v>214</v>
      </c>
      <c r="B29" s="35" t="n">
        <v>56.7</v>
      </c>
      <c r="C29" s="33" t="s">
        <v>215</v>
      </c>
    </row>
    <row r="30" customFormat="false" ht="15" hidden="false" customHeight="true" outlineLevel="0" collapsed="false">
      <c r="A30" s="29" t="s">
        <v>216</v>
      </c>
      <c r="B30" s="30"/>
      <c r="C30" s="30"/>
    </row>
    <row r="31" customFormat="false" ht="15" hidden="false" customHeight="true" outlineLevel="0" collapsed="false">
      <c r="A31" s="31" t="s">
        <v>217</v>
      </c>
      <c r="B31" s="32" t="n">
        <v>8965</v>
      </c>
      <c r="C31" s="33" t="s">
        <v>218</v>
      </c>
    </row>
    <row r="32" customFormat="false" ht="15" hidden="false" customHeight="true" outlineLevel="0" collapsed="false">
      <c r="A32" s="31" t="s">
        <v>219</v>
      </c>
      <c r="B32" s="32" t="n">
        <v>1834</v>
      </c>
      <c r="C32" s="33" t="s">
        <v>218</v>
      </c>
    </row>
    <row r="33" customFormat="false" ht="15" hidden="false" customHeight="true" outlineLevel="0" collapsed="false">
      <c r="A33" s="31" t="s">
        <v>220</v>
      </c>
      <c r="B33" s="32" t="n">
        <v>10076</v>
      </c>
      <c r="C33" s="33" t="s">
        <v>221</v>
      </c>
    </row>
    <row r="34" customFormat="false" ht="15" hidden="false" customHeight="true" outlineLevel="0" collapsed="false">
      <c r="A34" s="31" t="s">
        <v>222</v>
      </c>
      <c r="B34" s="32" t="n">
        <v>-1528</v>
      </c>
      <c r="C34" s="33" t="s">
        <v>223</v>
      </c>
    </row>
    <row r="35" customFormat="false" ht="15" hidden="false" customHeight="true" outlineLevel="0" collapsed="false">
      <c r="A35" s="31" t="s">
        <v>224</v>
      </c>
      <c r="B35" s="32" t="n">
        <v>9905</v>
      </c>
      <c r="C35" s="33" t="s">
        <v>225</v>
      </c>
    </row>
    <row r="36" customFormat="false" ht="15" hidden="false" customHeight="true" outlineLevel="0" collapsed="false">
      <c r="A36" s="31" t="s">
        <v>226</v>
      </c>
      <c r="B36" s="32" t="n">
        <v>445</v>
      </c>
      <c r="C36" s="33" t="s">
        <v>202</v>
      </c>
    </row>
    <row r="37" customFormat="false" ht="15" hidden="false" customHeight="true" outlineLevel="0" collapsed="false">
      <c r="A37" s="31" t="s">
        <v>227</v>
      </c>
      <c r="B37" s="32" t="n">
        <v>391</v>
      </c>
      <c r="C37" s="33" t="s">
        <v>228</v>
      </c>
    </row>
    <row r="38" customFormat="false" ht="15" hidden="false" customHeight="true" outlineLevel="0" collapsed="false">
      <c r="A38" s="31" t="s">
        <v>229</v>
      </c>
      <c r="B38" s="32" t="n">
        <v>9</v>
      </c>
      <c r="C38" s="33" t="s">
        <v>185</v>
      </c>
    </row>
    <row r="39" customFormat="false" ht="15" hidden="false" customHeight="true" outlineLevel="0" collapsed="false">
      <c r="A39" s="31" t="s">
        <v>230</v>
      </c>
      <c r="B39" s="32" t="n">
        <v>-4</v>
      </c>
      <c r="C39" s="33" t="s">
        <v>185</v>
      </c>
    </row>
    <row r="40" customFormat="false" ht="15" hidden="false" customHeight="true" outlineLevel="0" collapsed="false">
      <c r="A40" s="31" t="s">
        <v>231</v>
      </c>
      <c r="B40" s="36" t="n">
        <v>0.475</v>
      </c>
      <c r="C40" s="33" t="s">
        <v>232</v>
      </c>
    </row>
    <row r="41" customFormat="false" ht="15" hidden="false" customHeight="true" outlineLevel="0" collapsed="false">
      <c r="A41" s="31" t="s">
        <v>233</v>
      </c>
      <c r="B41" s="37" t="n">
        <v>0.2766</v>
      </c>
      <c r="C41" s="33" t="s">
        <v>234</v>
      </c>
    </row>
    <row r="42" customFormat="false" ht="15" hidden="false" customHeight="true" outlineLevel="0" collapsed="false">
      <c r="A42" s="31" t="s">
        <v>235</v>
      </c>
      <c r="B42" s="32" t="n">
        <v>10307</v>
      </c>
      <c r="C42" s="33" t="s">
        <v>236</v>
      </c>
    </row>
    <row r="43" customFormat="false" ht="15" hidden="false" customHeight="true" outlineLevel="0" collapsed="false">
      <c r="A43" s="31" t="s">
        <v>237</v>
      </c>
      <c r="B43" s="32" t="n">
        <v>2838</v>
      </c>
      <c r="C43" s="33" t="s">
        <v>238</v>
      </c>
    </row>
    <row r="44" customFormat="false" ht="15" hidden="false" customHeight="true" outlineLevel="0" collapsed="false">
      <c r="A44" s="31" t="s">
        <v>239</v>
      </c>
      <c r="B44" s="32" t="n">
        <v>2595</v>
      </c>
      <c r="C44" s="33" t="s">
        <v>234</v>
      </c>
    </row>
    <row r="45" customFormat="false" ht="15" hidden="false" customHeight="true" outlineLevel="0" collapsed="false">
      <c r="A45" s="31" t="s">
        <v>240</v>
      </c>
      <c r="B45" s="38" t="n">
        <v>98000000</v>
      </c>
      <c r="C45" s="33" t="s">
        <v>225</v>
      </c>
    </row>
    <row r="46" customFormat="false" ht="15" hidden="false" customHeight="true" outlineLevel="0" collapsed="false">
      <c r="A46" s="31" t="s">
        <v>241</v>
      </c>
      <c r="B46" s="38" t="n">
        <v>2918256</v>
      </c>
      <c r="C46" s="33" t="s">
        <v>225</v>
      </c>
    </row>
    <row r="47" customFormat="false" ht="15" hidden="false" customHeight="true" outlineLevel="0" collapsed="false">
      <c r="A47" s="31" t="s">
        <v>242</v>
      </c>
      <c r="B47" s="39" t="n">
        <v>10.7</v>
      </c>
      <c r="C47" s="33" t="s">
        <v>243</v>
      </c>
    </row>
    <row r="48" customFormat="false" ht="15" hidden="false" customHeight="true" outlineLevel="0" collapsed="false">
      <c r="A48" s="29" t="s">
        <v>244</v>
      </c>
      <c r="B48" s="30"/>
      <c r="C48" s="30"/>
    </row>
    <row r="49" customFormat="false" ht="15" hidden="false" customHeight="true" outlineLevel="0" collapsed="false">
      <c r="A49" s="31" t="s">
        <v>245</v>
      </c>
      <c r="B49" s="32" t="n">
        <v>19542</v>
      </c>
      <c r="C49" s="33" t="s">
        <v>246</v>
      </c>
    </row>
    <row r="50" customFormat="false" ht="15" hidden="false" customHeight="true" outlineLevel="0" collapsed="false">
      <c r="A50" s="31" t="s">
        <v>247</v>
      </c>
      <c r="B50" s="34" t="n">
        <f aca="false">142+278+420</f>
        <v>840</v>
      </c>
      <c r="C50" s="33" t="s">
        <v>248</v>
      </c>
    </row>
    <row r="51" customFormat="false" ht="15" hidden="false" customHeight="true" outlineLevel="0" collapsed="false">
      <c r="A51" s="31" t="s">
        <v>249</v>
      </c>
      <c r="B51" s="34" t="n">
        <f aca="false">59+311+180</f>
        <v>550</v>
      </c>
      <c r="C51" s="33" t="s">
        <v>248</v>
      </c>
    </row>
    <row r="52" customFormat="false" ht="15" hidden="false" customHeight="true" outlineLevel="0" collapsed="false">
      <c r="A52" s="31" t="s">
        <v>250</v>
      </c>
      <c r="B52" s="32" t="n">
        <v>975</v>
      </c>
      <c r="C52" s="33" t="s">
        <v>251</v>
      </c>
    </row>
    <row r="53" customFormat="false" ht="15" hidden="false" customHeight="true" outlineLevel="0" collapsed="false">
      <c r="A53" s="31" t="s">
        <v>252</v>
      </c>
      <c r="B53" s="32" t="n">
        <v>389</v>
      </c>
      <c r="C53" s="33" t="s">
        <v>251</v>
      </c>
    </row>
    <row r="54" customFormat="false" ht="15" hidden="false" customHeight="true" outlineLevel="0" collapsed="false">
      <c r="A54" s="31" t="s">
        <v>253</v>
      </c>
      <c r="B54" s="32" t="n">
        <v>259</v>
      </c>
      <c r="C54" s="33" t="s">
        <v>254</v>
      </c>
    </row>
    <row r="55" customFormat="false" ht="15" hidden="false" customHeight="true" outlineLevel="0" collapsed="false">
      <c r="A55" s="31" t="s">
        <v>255</v>
      </c>
      <c r="B55" s="32" t="n">
        <v>23429</v>
      </c>
      <c r="C55" s="33" t="s">
        <v>205</v>
      </c>
    </row>
    <row r="56" customFormat="false" ht="15" hidden="false" customHeight="true" outlineLevel="0" collapsed="false">
      <c r="A56" s="29" t="s">
        <v>256</v>
      </c>
      <c r="B56" s="30"/>
      <c r="C56" s="30"/>
    </row>
    <row r="57" customFormat="false" ht="15" hidden="false" customHeight="true" outlineLevel="0" collapsed="false">
      <c r="A57" s="31" t="s">
        <v>257</v>
      </c>
      <c r="B57" s="35" t="n">
        <v>3244.9</v>
      </c>
      <c r="C57" s="33" t="s">
        <v>258</v>
      </c>
    </row>
    <row r="58" customFormat="false" ht="15" hidden="false" customHeight="true" outlineLevel="0" collapsed="false">
      <c r="A58" s="31" t="s">
        <v>259</v>
      </c>
      <c r="B58" s="32" t="n">
        <v>2283</v>
      </c>
      <c r="C58" s="33" t="s">
        <v>260</v>
      </c>
    </row>
    <row r="59" customFormat="false" ht="15" hidden="false" customHeight="true" outlineLevel="0" collapsed="false">
      <c r="A59" s="31" t="s">
        <v>261</v>
      </c>
      <c r="B59" s="35" t="n">
        <v>613.5</v>
      </c>
      <c r="C59" s="33" t="s">
        <v>262</v>
      </c>
    </row>
    <row r="60" customFormat="false" ht="15" hidden="false" customHeight="true" outlineLevel="0" collapsed="false">
      <c r="A60" s="31" t="s">
        <v>263</v>
      </c>
      <c r="B60" s="35" t="n">
        <v>261.7</v>
      </c>
      <c r="C60" s="33" t="s">
        <v>264</v>
      </c>
    </row>
    <row r="61" customFormat="false" ht="15" hidden="false" customHeight="true" outlineLevel="0" collapsed="false">
      <c r="A61" s="31" t="s">
        <v>265</v>
      </c>
      <c r="B61" s="35" t="n">
        <v>5.4</v>
      </c>
      <c r="C61" s="33" t="s">
        <v>266</v>
      </c>
    </row>
    <row r="62" customFormat="false" ht="15" hidden="false" customHeight="true" outlineLevel="0" collapsed="false">
      <c r="A62" s="31" t="s">
        <v>267</v>
      </c>
      <c r="B62" s="35" t="n">
        <v>150.2</v>
      </c>
      <c r="C62" s="33" t="s">
        <v>268</v>
      </c>
    </row>
    <row r="64" customFormat="false" ht="15" hidden="false" customHeight="true" outlineLevel="0" collapsed="false">
      <c r="A64" s="29" t="s">
        <v>269</v>
      </c>
      <c r="B64" s="30"/>
      <c r="C64" s="30"/>
    </row>
    <row r="65" customFormat="false" ht="15" hidden="false" customHeight="true" outlineLevel="0" collapsed="false">
      <c r="A65" s="31" t="s">
        <v>270</v>
      </c>
      <c r="B65" s="40" t="n">
        <f aca="false">(Données!$B$6+Données!$B$7+Données!$B$8+Données!$B$13+Données!$B$14+Données!$B$15)/Données!$B$25</f>
        <v>0.0821654558237638</v>
      </c>
      <c r="C65" s="33" t="s">
        <v>271</v>
      </c>
    </row>
    <row r="66" customFormat="false" ht="15" hidden="false" customHeight="true" outlineLevel="0" collapsed="false">
      <c r="A66" s="31" t="s">
        <v>272</v>
      </c>
      <c r="B66" s="40" t="n">
        <f aca="false">(Données!$B$50+Données!$B$51)/Données!$B$49</f>
        <v>0.0711288506805854</v>
      </c>
      <c r="C66" s="33" t="s">
        <v>271</v>
      </c>
    </row>
    <row r="67" customFormat="false" ht="15" hidden="false" customHeight="true" outlineLevel="0" collapsed="false">
      <c r="A67" s="31" t="s">
        <v>273</v>
      </c>
      <c r="B67" s="40" t="n">
        <f aca="false">(Données!$B$13+Données!$B$14+Données!$B$15)/Données!$B$25</f>
        <v>0.0365596437778299</v>
      </c>
      <c r="C67" s="33" t="s">
        <v>274</v>
      </c>
    </row>
    <row r="68" customFormat="false" ht="15" hidden="false" customHeight="true" outlineLevel="0" collapsed="false">
      <c r="A68" s="31" t="s">
        <v>275</v>
      </c>
      <c r="B68" s="40" t="n">
        <f aca="false">(Données!$B$52+Données!$B$53-Données!$B$60-Données!$B$61)/Données!$B$25</f>
        <v>0.0514131708460276</v>
      </c>
      <c r="C68" s="33" t="s">
        <v>276</v>
      </c>
    </row>
    <row r="69" customFormat="false" ht="15" hidden="false" customHeight="true" outlineLevel="0" collapsed="false">
      <c r="A69" s="31" t="s">
        <v>277</v>
      </c>
      <c r="B69" s="40" t="n">
        <f aca="false">Données!$B$54/(Données!$B$27-Données!$B$55)</f>
        <v>0.137473460721868</v>
      </c>
      <c r="C69" s="33" t="s">
        <v>278</v>
      </c>
    </row>
    <row r="70" customFormat="false" ht="15" hidden="false" customHeight="true" outlineLevel="0" collapsed="false">
      <c r="A70" s="31" t="s">
        <v>279</v>
      </c>
      <c r="B70" s="34" t="n">
        <f aca="false">Données!$B$9+Données!$B$16</f>
        <v>2663</v>
      </c>
      <c r="C70" s="33" t="s">
        <v>280</v>
      </c>
    </row>
    <row r="71" customFormat="false" ht="15" hidden="false" customHeight="true" outlineLevel="0" collapsed="false">
      <c r="A71" s="31" t="s">
        <v>281</v>
      </c>
      <c r="B71" s="40" t="n">
        <f aca="false">Données!$B$58/Données!$B$57</f>
        <v>0.703565595241764</v>
      </c>
      <c r="C71" s="33" t="s">
        <v>282</v>
      </c>
    </row>
    <row r="72" customFormat="false" ht="15" hidden="false" customHeight="true" outlineLevel="0" collapsed="false">
      <c r="A72" s="31" t="s">
        <v>283</v>
      </c>
      <c r="B72" s="40" t="n">
        <f aca="false">Données!$B$59/Données!$B$57</f>
        <v>0.189065918826466</v>
      </c>
      <c r="C72" s="33" t="s">
        <v>284</v>
      </c>
    </row>
    <row r="73" customFormat="false" ht="15" hidden="false" customHeight="true" outlineLevel="0" collapsed="false">
      <c r="A73" s="31" t="s">
        <v>285</v>
      </c>
      <c r="B73" s="40" t="n">
        <f aca="false">(Données!$B$60+Données!$B$61)/Données!$B$57</f>
        <v>0.0823137847083115</v>
      </c>
      <c r="C73" s="33" t="s">
        <v>284</v>
      </c>
    </row>
    <row r="74" customFormat="false" ht="15" hidden="false" customHeight="true" outlineLevel="0" collapsed="false">
      <c r="A74" s="31" t="s">
        <v>286</v>
      </c>
      <c r="B74" s="40" t="n">
        <f aca="false">Données!$B$62/B75</f>
        <v>0.0179450418160096</v>
      </c>
      <c r="C74" s="33" t="s">
        <v>287</v>
      </c>
    </row>
    <row r="75" customFormat="false" ht="15" hidden="false" customHeight="true" outlineLevel="0" collapsed="false">
      <c r="A75" s="31" t="s">
        <v>288</v>
      </c>
      <c r="B75" s="32" t="n">
        <f aca="false">AVERAGE(8064.5,8675.5)</f>
        <v>8370</v>
      </c>
      <c r="C75" s="33" t="s">
        <v>289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BF1DE"/>
    <pageSetUpPr fitToPage="false"/>
  </sheetPr>
  <dimension ref="A1:D26"/>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C29" activeCellId="0" sqref="C29"/>
    </sheetView>
  </sheetViews>
  <sheetFormatPr defaultColWidth="8.6328125" defaultRowHeight="14.25" zeroHeight="false" outlineLevelRow="0" outlineLevelCol="0"/>
  <cols>
    <col collapsed="false" customWidth="true" hidden="false" outlineLevel="0" max="1" min="1" style="1" width="46"/>
    <col collapsed="false" customWidth="true" hidden="false" outlineLevel="0" max="2" min="2" style="1" width="14"/>
    <col collapsed="false" customWidth="true" hidden="false" outlineLevel="0" max="3" min="3" style="1" width="55.36"/>
    <col collapsed="false" customWidth="true" hidden="false" outlineLevel="0" max="4" min="4" style="1" width="40.45"/>
  </cols>
  <sheetData>
    <row r="1" customFormat="false" ht="16.5" hidden="false" customHeight="true" outlineLevel="0" collapsed="false">
      <c r="A1" s="41" t="s">
        <v>290</v>
      </c>
    </row>
    <row r="2" customFormat="false" ht="14.25" hidden="false" customHeight="true" outlineLevel="0" collapsed="false">
      <c r="A2" s="42" t="s">
        <v>291</v>
      </c>
    </row>
    <row r="3" customFormat="false" ht="14.25" hidden="false" customHeight="true" outlineLevel="0" collapsed="false">
      <c r="A3" s="42" t="s">
        <v>292</v>
      </c>
    </row>
    <row r="4" customFormat="false" ht="14.25" hidden="false" customHeight="true" outlineLevel="0" collapsed="false">
      <c r="A4" s="43" t="s">
        <v>293</v>
      </c>
      <c r="B4" s="43" t="s">
        <v>67</v>
      </c>
      <c r="C4" s="43" t="s">
        <v>180</v>
      </c>
    </row>
    <row r="5" customFormat="false" ht="14.25" hidden="false" customHeight="true" outlineLevel="0" collapsed="false">
      <c r="A5" s="31" t="s">
        <v>294</v>
      </c>
      <c r="B5" s="44" t="n">
        <v>0.04</v>
      </c>
      <c r="C5" s="42" t="s">
        <v>295</v>
      </c>
    </row>
    <row r="6" customFormat="false" ht="14.25" hidden="false" customHeight="true" outlineLevel="0" collapsed="false">
      <c r="A6" s="31" t="s">
        <v>73</v>
      </c>
      <c r="B6" s="44" t="n">
        <v>0.0494</v>
      </c>
      <c r="C6" s="42" t="s">
        <v>296</v>
      </c>
    </row>
    <row r="7" customFormat="false" ht="14.25" hidden="false" customHeight="true" outlineLevel="0" collapsed="false">
      <c r="A7" s="31" t="s">
        <v>297</v>
      </c>
      <c r="B7" s="44" t="n">
        <v>0.268</v>
      </c>
      <c r="C7" s="42" t="s">
        <v>298</v>
      </c>
    </row>
    <row r="8" customFormat="false" ht="14.25" hidden="false" customHeight="true" outlineLevel="0" collapsed="false">
      <c r="A8" s="31" t="s">
        <v>299</v>
      </c>
      <c r="B8" s="44" t="n">
        <v>0.291</v>
      </c>
      <c r="C8" s="42" t="s">
        <v>300</v>
      </c>
    </row>
    <row r="9" customFormat="false" ht="14.25" hidden="false" customHeight="true" outlineLevel="0" collapsed="false">
      <c r="A9" s="31" t="s">
        <v>161</v>
      </c>
      <c r="B9" s="45" t="n">
        <v>98.72</v>
      </c>
      <c r="C9" s="42" t="s">
        <v>301</v>
      </c>
    </row>
    <row r="10" customFormat="false" ht="14.25" hidden="false" customHeight="true" outlineLevel="0" collapsed="false">
      <c r="A10" s="31" t="s">
        <v>302</v>
      </c>
      <c r="B10" s="46" t="n">
        <f aca="false">(Données!$B$45-Données!$B$46)/1000000</f>
        <v>95.081744</v>
      </c>
      <c r="C10" s="42" t="s">
        <v>303</v>
      </c>
    </row>
    <row r="11" customFormat="false" ht="14.25" hidden="false" customHeight="true" outlineLevel="0" collapsed="false">
      <c r="A11" s="31" t="s">
        <v>304</v>
      </c>
      <c r="B11" s="34" t="n">
        <f aca="false">B9*B10</f>
        <v>9386.46976768</v>
      </c>
      <c r="C11" s="42"/>
    </row>
    <row r="12" customFormat="false" ht="14.25" hidden="false" customHeight="true" outlineLevel="0" collapsed="false">
      <c r="A12" s="31" t="s">
        <v>242</v>
      </c>
      <c r="B12" s="47" t="n">
        <f aca="false">Données!$B$47</f>
        <v>10.7</v>
      </c>
      <c r="C12" s="42" t="s">
        <v>305</v>
      </c>
    </row>
    <row r="13" customFormat="false" ht="14.25" hidden="false" customHeight="true" outlineLevel="0" collapsed="false">
      <c r="A13" s="31" t="s">
        <v>306</v>
      </c>
      <c r="B13" s="48" t="n">
        <f aca="false">B9/B12</f>
        <v>9.22616822429907</v>
      </c>
      <c r="C13" s="42"/>
    </row>
    <row r="14" customFormat="false" ht="14.25" hidden="false" customHeight="true" outlineLevel="0" collapsed="false">
      <c r="A14" s="31" t="s">
        <v>307</v>
      </c>
      <c r="B14" s="49" t="n">
        <f aca="false">Données!$B$34</f>
        <v>-1528</v>
      </c>
      <c r="C14" s="42" t="s">
        <v>308</v>
      </c>
    </row>
    <row r="15" customFormat="false" ht="14.25" hidden="false" customHeight="true" outlineLevel="0" collapsed="false">
      <c r="A15" s="31" t="s">
        <v>309</v>
      </c>
      <c r="B15" s="49" t="n">
        <f aca="false">Données!$B$31-Données!$B$32</f>
        <v>7131</v>
      </c>
      <c r="C15" s="42" t="s">
        <v>310</v>
      </c>
    </row>
    <row r="16" customFormat="false" ht="14.25" hidden="false" customHeight="true" outlineLevel="0" collapsed="false">
      <c r="A16" s="31" t="s">
        <v>311</v>
      </c>
      <c r="B16" s="49" t="n">
        <f aca="false">Données!$B$33-B15</f>
        <v>2945</v>
      </c>
      <c r="C16" s="42" t="s">
        <v>312</v>
      </c>
    </row>
    <row r="17" customFormat="false" ht="14.25" hidden="false" customHeight="true" outlineLevel="0" collapsed="false">
      <c r="A17" s="31" t="s">
        <v>313</v>
      </c>
      <c r="B17" s="50" t="n">
        <f aca="false">1-Données!$B$40</f>
        <v>0.525</v>
      </c>
      <c r="C17" s="42" t="s">
        <v>314</v>
      </c>
    </row>
    <row r="18" customFormat="false" ht="14.25" hidden="false" customHeight="true" outlineLevel="0" collapsed="false">
      <c r="A18" s="31" t="s">
        <v>315</v>
      </c>
      <c r="B18" s="44" t="n">
        <v>0.9</v>
      </c>
      <c r="C18" s="42" t="s">
        <v>316</v>
      </c>
    </row>
    <row r="19" customFormat="false" ht="14.25" hidden="false" customHeight="true" outlineLevel="0" collapsed="false">
      <c r="A19" s="31" t="s">
        <v>317</v>
      </c>
      <c r="B19" s="49" t="n">
        <f aca="false">Données!$B$36-Données!$B$37-Données!$B$38-(Données!$B$39)</f>
        <v>49</v>
      </c>
      <c r="C19" s="42" t="s">
        <v>318</v>
      </c>
      <c r="D19" s="51"/>
    </row>
    <row r="20" customFormat="false" ht="14.25" hidden="false" customHeight="true" outlineLevel="0" collapsed="false">
      <c r="A20" s="31" t="s">
        <v>319</v>
      </c>
      <c r="B20" s="49" t="n">
        <f aca="false">Données!$B$41*Données!$B$42+(Données!$B$43-Données!$B$44)</f>
        <v>3093.9162</v>
      </c>
      <c r="C20" s="42" t="s">
        <v>320</v>
      </c>
      <c r="D20" s="51"/>
    </row>
    <row r="21" customFormat="false" ht="14.25" hidden="false" customHeight="true" outlineLevel="0" collapsed="false">
      <c r="A21" s="31" t="s">
        <v>321</v>
      </c>
      <c r="B21" s="49" t="n">
        <f aca="false">Données!$B$10+Données!$B$17</f>
        <v>-22</v>
      </c>
      <c r="C21" s="42" t="s">
        <v>322</v>
      </c>
    </row>
    <row r="23" customFormat="false" ht="14.25" hidden="false" customHeight="true" outlineLevel="0" collapsed="false">
      <c r="A23" s="28" t="s">
        <v>323</v>
      </c>
      <c r="B23" s="10"/>
      <c r="C23" s="10"/>
    </row>
    <row r="24" customFormat="false" ht="14.25" hidden="false" customHeight="true" outlineLevel="0" collapsed="false">
      <c r="A24" s="31" t="s">
        <v>324</v>
      </c>
      <c r="B24" s="44" t="n">
        <v>0.01</v>
      </c>
      <c r="C24" s="33" t="s">
        <v>325</v>
      </c>
    </row>
    <row r="25" customFormat="false" ht="14.25" hidden="false" customHeight="true" outlineLevel="0" collapsed="false">
      <c r="A25" s="31" t="s">
        <v>326</v>
      </c>
      <c r="B25" s="44" t="n">
        <v>0.006</v>
      </c>
      <c r="C25" s="33" t="s">
        <v>327</v>
      </c>
    </row>
    <row r="26" customFormat="false" ht="14.25" hidden="false" customHeight="true" outlineLevel="0" collapsed="false">
      <c r="A26" s="31" t="s">
        <v>328</v>
      </c>
      <c r="B26" s="44" t="n">
        <v>0.008</v>
      </c>
      <c r="C26" s="33" t="s">
        <v>329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BF1DE"/>
    <pageSetUpPr fitToPage="false"/>
  </sheetPr>
  <dimension ref="A1:F27"/>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C26" activeCellId="0" sqref="C26"/>
    </sheetView>
  </sheetViews>
  <sheetFormatPr defaultColWidth="8.6328125" defaultRowHeight="14.25" zeroHeight="false" outlineLevelRow="0" outlineLevelCol="0"/>
  <cols>
    <col collapsed="false" customWidth="true" hidden="false" outlineLevel="0" max="1" min="1" style="1" width="52"/>
    <col collapsed="false" customWidth="true" hidden="false" outlineLevel="0" max="5" min="2" style="1" width="15"/>
    <col collapsed="false" customWidth="true" hidden="false" outlineLevel="0" max="6" min="6" style="1" width="100"/>
  </cols>
  <sheetData>
    <row r="1" customFormat="false" ht="16.5" hidden="false" customHeight="true" outlineLevel="0" collapsed="false">
      <c r="A1" s="41" t="s">
        <v>30</v>
      </c>
    </row>
    <row r="3" customFormat="false" ht="26.25" hidden="false" customHeight="true" outlineLevel="0" collapsed="false">
      <c r="A3" s="43" t="s">
        <v>330</v>
      </c>
      <c r="B3" s="43" t="s">
        <v>331</v>
      </c>
      <c r="C3" s="43" t="s">
        <v>332</v>
      </c>
      <c r="D3" s="43" t="s">
        <v>333</v>
      </c>
      <c r="E3" s="43" t="s">
        <v>334</v>
      </c>
    </row>
    <row r="4" customFormat="false" ht="14.25" hidden="false" customHeight="true" outlineLevel="0" collapsed="false">
      <c r="A4" s="31" t="s">
        <v>335</v>
      </c>
      <c r="B4" s="52" t="n">
        <f aca="false">Travaux!B26</f>
        <v>1753</v>
      </c>
      <c r="C4" s="52" t="n">
        <f aca="false">'Eiffarie (APRR-AREA-Aliaé)'!B27</f>
        <v>2283</v>
      </c>
      <c r="D4" s="52" t="n">
        <f aca="false">'Autres concessions'!B26</f>
        <v>380</v>
      </c>
      <c r="E4" s="34" t="n">
        <f aca="false">SUM(B4:D4)</f>
        <v>4416</v>
      </c>
    </row>
    <row r="5" customFormat="false" ht="14.25" hidden="false" customHeight="true" outlineLevel="0" collapsed="false">
      <c r="A5" s="26" t="s">
        <v>336</v>
      </c>
      <c r="B5" s="53" t="n">
        <f aca="false">Travaux!B46</f>
        <v>8026.13955394459</v>
      </c>
      <c r="C5" s="53" t="n">
        <f aca="false">'Eiffarie (APRR-AREA-Aliaé)'!B43</f>
        <v>13021.9455766405</v>
      </c>
      <c r="D5" s="53" t="n">
        <f aca="false">'Autres concessions'!B46</f>
        <v>4856.40501661601</v>
      </c>
      <c r="E5" s="54" t="n">
        <f aca="false">SUM(B5:D5)</f>
        <v>25904.4901472011</v>
      </c>
    </row>
    <row r="6" customFormat="false" ht="14.25" hidden="false" customHeight="true" outlineLevel="0" collapsed="false">
      <c r="A6" s="31" t="s">
        <v>337</v>
      </c>
      <c r="B6" s="48" t="n">
        <f aca="false">B5/B4</f>
        <v>4.57851657384175</v>
      </c>
      <c r="C6" s="48" t="n">
        <f aca="false">C5/C4</f>
        <v>5.70387454079741</v>
      </c>
      <c r="D6" s="48" t="n">
        <f aca="false">D5/D4</f>
        <v>12.7800132016211</v>
      </c>
      <c r="E6" s="48" t="n">
        <f aca="false">E5/E4</f>
        <v>5.86605302246401</v>
      </c>
    </row>
    <row r="7" customFormat="false" ht="14.25" hidden="false" customHeight="true" outlineLevel="0" collapsed="false">
      <c r="A7" s="31" t="s">
        <v>49</v>
      </c>
      <c r="B7" s="55" t="n">
        <f aca="false">Travaux!B13</f>
        <v>0.07952</v>
      </c>
      <c r="C7" s="55" t="n">
        <f aca="false">'Eiffarie (APRR-AREA-Aliaé)'!B13</f>
        <v>0.055888680930491</v>
      </c>
      <c r="D7" s="55" t="n">
        <f aca="false">'Autres concessions'!B13</f>
        <v>0.0600974207467171</v>
      </c>
    </row>
    <row r="8" customFormat="false" ht="14.25" hidden="false" customHeight="true" outlineLevel="0" collapsed="false">
      <c r="A8" s="31" t="s">
        <v>338</v>
      </c>
      <c r="B8" s="52" t="n">
        <f aca="false">Hypothèses!B14</f>
        <v>-1528</v>
      </c>
      <c r="C8" s="52" t="n">
        <f aca="false">Hypothèses!B15</f>
        <v>7131</v>
      </c>
      <c r="D8" s="52" t="n">
        <f aca="false">Hypothèses!B16</f>
        <v>2945</v>
      </c>
      <c r="E8" s="34" t="n">
        <f aca="false">SUM(B8:D8)</f>
        <v>8548</v>
      </c>
    </row>
    <row r="9" customFormat="false" ht="14.25" hidden="false" customHeight="true" outlineLevel="0" collapsed="false">
      <c r="A9" s="31" t="s">
        <v>339</v>
      </c>
      <c r="B9" s="34" t="n">
        <f aca="false">B5-B8</f>
        <v>9554.13955394459</v>
      </c>
      <c r="C9" s="34" t="n">
        <f aca="false">C5-C8</f>
        <v>5890.94557664048</v>
      </c>
      <c r="D9" s="34" t="n">
        <f aca="false">D5-D8</f>
        <v>1911.40501661601</v>
      </c>
      <c r="E9" s="34" t="n">
        <f aca="false">SUM(B9:D9)</f>
        <v>17356.4901472011</v>
      </c>
    </row>
    <row r="10" customFormat="false" ht="14.25" hidden="false" customHeight="true" outlineLevel="0" collapsed="false">
      <c r="A10" s="31" t="s">
        <v>340</v>
      </c>
      <c r="C10" s="56" t="n">
        <f aca="false">Hypothèses!B17</f>
        <v>0.525</v>
      </c>
      <c r="D10" s="56" t="n">
        <f aca="false">Hypothèses!B18</f>
        <v>0.9</v>
      </c>
    </row>
    <row r="11" customFormat="false" ht="14.25" hidden="false" customHeight="true" outlineLevel="0" collapsed="false">
      <c r="A11" s="31" t="s">
        <v>341</v>
      </c>
      <c r="B11" s="52" t="n">
        <f aca="false">Hypothèses!B19*Hypothèses!B13</f>
        <v>452.082242990654</v>
      </c>
      <c r="C11" s="34" t="n">
        <f aca="false">(1-C10)*MAX(C9,0)</f>
        <v>2798.19914890423</v>
      </c>
      <c r="D11" s="34" t="n">
        <f aca="false">(1-D10)*MAX(D9,0)</f>
        <v>191.1405016616</v>
      </c>
      <c r="E11" s="34" t="n">
        <f aca="false">SUM(B11:D11)</f>
        <v>3441.42189355648</v>
      </c>
      <c r="F11" s="42" t="s">
        <v>342</v>
      </c>
    </row>
    <row r="12" customFormat="false" ht="14.25" hidden="false" customHeight="true" outlineLevel="0" collapsed="false">
      <c r="A12" s="26" t="s">
        <v>343</v>
      </c>
      <c r="B12" s="54" t="n">
        <f aca="false">B9-B11</f>
        <v>9102.05731095393</v>
      </c>
      <c r="C12" s="54" t="n">
        <f aca="false">MAX(C9,0)-C11</f>
        <v>3092.74642773625</v>
      </c>
      <c r="D12" s="54" t="n">
        <f aca="false">MAX(D9,0)-D11</f>
        <v>1720.2645149544</v>
      </c>
      <c r="E12" s="54" t="n">
        <f aca="false">SUM(B12:D12)</f>
        <v>13915.0682536446</v>
      </c>
      <c r="F12" s="42" t="s">
        <v>344</v>
      </c>
    </row>
    <row r="13" customFormat="false" ht="14.25" hidden="false" customHeight="true" outlineLevel="0" collapsed="false">
      <c r="A13" s="31" t="s">
        <v>345</v>
      </c>
      <c r="E13" s="52" t="n">
        <f aca="false">Hypothèses!B20</f>
        <v>3093.9162</v>
      </c>
    </row>
    <row r="14" customFormat="false" ht="14.25" hidden="false" customHeight="true" outlineLevel="0" collapsed="false">
      <c r="A14" s="31" t="s">
        <v>346</v>
      </c>
      <c r="E14" s="34" t="n">
        <f aca="false">-Hypothèses!B21*B6</f>
        <v>100.727364624519</v>
      </c>
    </row>
    <row r="15" customFormat="false" ht="14.25" hidden="false" customHeight="true" outlineLevel="0" collapsed="false">
      <c r="A15" s="26" t="s">
        <v>347</v>
      </c>
      <c r="E15" s="54" t="n">
        <f aca="false">E12+E13-E14</f>
        <v>16908.2570890201</v>
      </c>
    </row>
    <row r="16" customFormat="false" ht="14.25" hidden="false" customHeight="true" outlineLevel="0" collapsed="false">
      <c r="A16" s="31" t="s">
        <v>302</v>
      </c>
      <c r="E16" s="57" t="n">
        <f aca="false">Hypothèses!B10</f>
        <v>95.081744</v>
      </c>
    </row>
    <row r="17" customFormat="false" ht="14.25" hidden="false" customHeight="true" outlineLevel="0" collapsed="false">
      <c r="A17" s="26" t="s">
        <v>348</v>
      </c>
      <c r="E17" s="58" t="n">
        <f aca="false">E15/E16</f>
        <v>177.828638576718</v>
      </c>
      <c r="F17" s="59" t="s">
        <v>349</v>
      </c>
    </row>
    <row r="18" customFormat="false" ht="14.25" hidden="false" customHeight="true" outlineLevel="0" collapsed="false">
      <c r="A18" s="31" t="s">
        <v>161</v>
      </c>
      <c r="E18" s="57" t="n">
        <f aca="false">Hypothèses!B9</f>
        <v>98.72</v>
      </c>
      <c r="F18" s="60" t="s">
        <v>350</v>
      </c>
    </row>
    <row r="19" customFormat="false" ht="14.25" hidden="false" customHeight="true" outlineLevel="0" collapsed="false">
      <c r="A19" s="31" t="s">
        <v>162</v>
      </c>
      <c r="E19" s="61" t="n">
        <f aca="false">E17/E18-1</f>
        <v>0.801343583637747</v>
      </c>
      <c r="F19" s="60"/>
    </row>
    <row r="20" customFormat="false" ht="14.25" hidden="false" customHeight="true" outlineLevel="0" collapsed="false">
      <c r="F20" s="60"/>
    </row>
    <row r="21" customFormat="false" ht="14.25" hidden="false" customHeight="true" outlineLevel="0" collapsed="false">
      <c r="F21" s="60"/>
    </row>
    <row r="22" customFormat="false" ht="14.25" hidden="false" customHeight="true" outlineLevel="0" collapsed="false">
      <c r="A22" s="43" t="s">
        <v>351</v>
      </c>
      <c r="B22" s="43" t="s">
        <v>67</v>
      </c>
      <c r="C22" s="43" t="s">
        <v>352</v>
      </c>
      <c r="F22" s="60"/>
    </row>
    <row r="23" customFormat="false" ht="14.25" hidden="false" customHeight="true" outlineLevel="0" collapsed="false">
      <c r="A23" s="31" t="s">
        <v>353</v>
      </c>
      <c r="B23" s="34" t="n">
        <f aca="false">E8</f>
        <v>8548</v>
      </c>
      <c r="C23" s="49" t="n">
        <f aca="false">Données!$B$33+Données!$B$34</f>
        <v>8548</v>
      </c>
      <c r="F23" s="60"/>
    </row>
    <row r="24" customFormat="false" ht="14.25" hidden="false" customHeight="true" outlineLevel="0" collapsed="false">
      <c r="A24" s="31" t="s">
        <v>354</v>
      </c>
      <c r="B24" s="34" t="n">
        <f aca="false">E4</f>
        <v>4416</v>
      </c>
      <c r="C24" s="49" t="n">
        <f aca="false">Données!$B$19-Hypothèses!B21</f>
        <v>4416</v>
      </c>
      <c r="F24" s="60"/>
    </row>
    <row r="25" customFormat="false" ht="14.25" hidden="false" customHeight="true" outlineLevel="0" collapsed="false">
      <c r="A25" s="31" t="s">
        <v>355</v>
      </c>
      <c r="B25" s="34" t="n">
        <f aca="false">Travaux!B16+'Eiffarie (APRR-AREA-Aliaé)'!B17+'Autres concessions'!B16</f>
        <v>25313</v>
      </c>
      <c r="C25" s="49" t="n">
        <f aca="false">Données!$B$27</f>
        <v>25313</v>
      </c>
    </row>
    <row r="26" customFormat="false" ht="14.25" hidden="false" customHeight="true" outlineLevel="0" collapsed="false">
      <c r="A26" s="31"/>
      <c r="B26" s="34"/>
    </row>
    <row r="27" customFormat="false" ht="14.25" hidden="false" customHeight="true" outlineLevel="0" collapsed="false">
      <c r="A27" s="31" t="s">
        <v>356</v>
      </c>
      <c r="B27" s="40" t="n">
        <f aca="false">B5/E5</f>
        <v>0.309835843451711</v>
      </c>
      <c r="C27" s="40" t="n">
        <f aca="false">C5/E5</f>
        <v>0.502690672645702</v>
      </c>
      <c r="D27" s="40" t="n">
        <f aca="false">D5/E5</f>
        <v>0.187473483902586</v>
      </c>
    </row>
  </sheetData>
  <mergeCells count="1">
    <mergeCell ref="F18:F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EECE1"/>
    <pageSetUpPr fitToPage="false"/>
  </sheetPr>
  <dimension ref="A1:O13"/>
  <sheetViews>
    <sheetView showFormulas="false" showGridLines="true" showRowColHeaders="true" showZeros="true" rightToLeft="false" tabSelected="false" showOutlineSymbols="true" defaultGridColor="true" view="normal" topLeftCell="A21" colorId="64" zoomScale="70" zoomScaleNormal="70" zoomScalePageLayoutView="100" workbookViewId="0">
      <selection pane="topLeft" activeCell="N34" activeCellId="0" sqref="N34"/>
    </sheetView>
  </sheetViews>
  <sheetFormatPr defaultColWidth="8.6328125" defaultRowHeight="14.25" zeroHeight="false" outlineLevelRow="0" outlineLevelCol="0"/>
  <cols>
    <col collapsed="false" customWidth="true" hidden="false" outlineLevel="0" max="1" min="1" style="1" width="48"/>
    <col collapsed="false" customWidth="true" hidden="false" outlineLevel="0" max="5" min="2" style="1" width="14"/>
  </cols>
  <sheetData>
    <row r="1" customFormat="false" ht="15" hidden="false" customHeight="true" outlineLevel="0" collapsed="false">
      <c r="A1" s="26" t="s">
        <v>357</v>
      </c>
    </row>
    <row r="2" customFormat="false" ht="15" hidden="false" customHeight="true" outlineLevel="0" collapsed="false">
      <c r="A2" s="33" t="s">
        <v>358</v>
      </c>
    </row>
    <row r="3" customFormat="false" ht="14.25" hidden="false" customHeight="true" outlineLevel="0" collapsed="false">
      <c r="A3" s="33" t="s">
        <v>359</v>
      </c>
    </row>
    <row r="4" customFormat="false" ht="14.25" hidden="false" customHeight="true" outlineLevel="0" collapsed="false">
      <c r="A4" s="33"/>
    </row>
    <row r="5" customFormat="false" ht="15" hidden="false" customHeight="true" outlineLevel="0" collapsed="false">
      <c r="A5" s="28" t="s">
        <v>360</v>
      </c>
      <c r="B5" s="28" t="s">
        <v>361</v>
      </c>
      <c r="C5" s="28" t="s">
        <v>362</v>
      </c>
      <c r="D5" s="28" t="s">
        <v>363</v>
      </c>
      <c r="E5" s="28" t="s">
        <v>364</v>
      </c>
    </row>
    <row r="6" customFormat="false" ht="15" hidden="false" customHeight="true" outlineLevel="0" collapsed="false">
      <c r="A6" s="31" t="s">
        <v>365</v>
      </c>
      <c r="B6" s="62" t="n">
        <f aca="false">Sensibilité!D26</f>
        <v>169.426414592381</v>
      </c>
      <c r="C6" s="62" t="n">
        <f aca="false">Sensibilité!F24</f>
        <v>187.386153119112</v>
      </c>
      <c r="D6" s="63" t="n">
        <f aca="false">C6-B6</f>
        <v>17.9597385267312</v>
      </c>
      <c r="E6" s="62" t="n">
        <f aca="false">Sensibilité!E25</f>
        <v>177.828638576718</v>
      </c>
    </row>
    <row r="7" customFormat="false" ht="15" hidden="false" customHeight="true" outlineLevel="0" collapsed="false">
      <c r="A7" s="31" t="s">
        <v>366</v>
      </c>
      <c r="B7" s="62" t="n">
        <f aca="false">Multiples!F37</f>
        <v>78.277693723187</v>
      </c>
      <c r="C7" s="62" t="n">
        <f aca="false">Multiples!H37</f>
        <v>352.241370536704</v>
      </c>
      <c r="D7" s="63" t="n">
        <f aca="false">C7-B7</f>
        <v>273.963676813517</v>
      </c>
      <c r="E7" s="62" t="n">
        <f aca="false">Multiples!G37</f>
        <v>168.913581596536</v>
      </c>
    </row>
    <row r="8" customFormat="false" ht="15" hidden="false" customHeight="true" outlineLevel="0" collapsed="false">
      <c r="A8" s="31" t="s">
        <v>367</v>
      </c>
      <c r="B8" s="62" t="n">
        <f aca="false">Multiples!F38</f>
        <v>117.417494243919</v>
      </c>
      <c r="C8" s="62" t="n">
        <f aca="false">Multiples!H38</f>
        <v>261.430466542381</v>
      </c>
      <c r="D8" s="63" t="n">
        <f aca="false">C8-B8</f>
        <v>144.012972298463</v>
      </c>
      <c r="E8" s="62" t="n">
        <f aca="false">Multiples!G38</f>
        <v>129.392291732919</v>
      </c>
    </row>
    <row r="9" customFormat="false" ht="15" hidden="false" customHeight="true" outlineLevel="0" collapsed="false">
      <c r="A9" s="31" t="s">
        <v>368</v>
      </c>
      <c r="B9" s="62" t="n">
        <f aca="false">Multiples!F39</f>
        <v>137.773150954927</v>
      </c>
      <c r="C9" s="62" t="n">
        <f aca="false">Multiples!H39</f>
        <v>185.621947772801</v>
      </c>
      <c r="D9" s="63" t="n">
        <f aca="false">C9-B9</f>
        <v>47.8487968178732</v>
      </c>
      <c r="E9" s="62" t="n">
        <f aca="false">Multiples!G39</f>
        <v>145.614113578172</v>
      </c>
    </row>
    <row r="10" customFormat="false" ht="15" hidden="false" customHeight="true" outlineLevel="0" collapsed="false">
      <c r="A10" s="31" t="s">
        <v>369</v>
      </c>
      <c r="B10" s="64" t="n">
        <v>145</v>
      </c>
      <c r="C10" s="64" t="n">
        <v>180</v>
      </c>
      <c r="D10" s="63" t="n">
        <f aca="false">C10-B10</f>
        <v>35</v>
      </c>
      <c r="E10" s="64" t="n">
        <v>159</v>
      </c>
      <c r="O10" s="65"/>
    </row>
    <row r="11" customFormat="false" ht="15" hidden="false" customHeight="true" outlineLevel="0" collapsed="false">
      <c r="A11" s="31" t="s">
        <v>370</v>
      </c>
      <c r="B11" s="62" t="n">
        <f aca="false">Hypothèses!B9-1</f>
        <v>97.72</v>
      </c>
      <c r="C11" s="62" t="n">
        <f aca="false">Hypothèses!B9+1</f>
        <v>99.72</v>
      </c>
      <c r="D11" s="63" t="n">
        <f aca="false">C11-B11</f>
        <v>2</v>
      </c>
      <c r="E11" s="62" t="n">
        <f aca="false">Hypothèses!B9</f>
        <v>98.72</v>
      </c>
    </row>
    <row r="13" customFormat="false" ht="15" hidden="false" customHeight="true" outlineLevel="0" collapsed="false">
      <c r="A13" s="33" t="s">
        <v>371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EECE1"/>
    <pageSetUpPr fitToPage="false"/>
  </sheetPr>
  <dimension ref="A1:H33"/>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N14" activeCellId="0" sqref="N14"/>
    </sheetView>
  </sheetViews>
  <sheetFormatPr defaultColWidth="8.6328125" defaultRowHeight="14.25" zeroHeight="false" outlineLevelRow="0" outlineLevelCol="0"/>
  <cols>
    <col collapsed="false" customWidth="true" hidden="false" outlineLevel="0" max="1" min="1" style="1" width="38.45"/>
    <col collapsed="false" customWidth="true" hidden="false" outlineLevel="0" max="8" min="2" style="1" width="13"/>
  </cols>
  <sheetData>
    <row r="1" customFormat="false" ht="15" hidden="false" customHeight="true" outlineLevel="0" collapsed="false">
      <c r="A1" s="26" t="s">
        <v>372</v>
      </c>
    </row>
    <row r="2" customFormat="false" ht="15" hidden="false" customHeight="true" outlineLevel="0" collapsed="false">
      <c r="A2" s="33" t="s">
        <v>373</v>
      </c>
    </row>
    <row r="4" customFormat="false" ht="15" hidden="false" customHeight="true" outlineLevel="0" collapsed="false">
      <c r="A4" s="26" t="s">
        <v>374</v>
      </c>
      <c r="B4" s="66" t="n">
        <v>-0.009</v>
      </c>
      <c r="C4" s="66" t="n">
        <v>-0.006</v>
      </c>
      <c r="D4" s="66" t="n">
        <v>-0.003</v>
      </c>
      <c r="E4" s="66" t="n">
        <v>0</v>
      </c>
      <c r="F4" s="66" t="n">
        <v>0.003</v>
      </c>
      <c r="G4" s="66" t="n">
        <v>0.006</v>
      </c>
      <c r="H4" s="66" t="n">
        <v>0.009</v>
      </c>
    </row>
    <row r="5" customFormat="false" ht="15" hidden="false" customHeight="true" outlineLevel="0" collapsed="false">
      <c r="A5" s="31" t="s">
        <v>106</v>
      </c>
      <c r="B5" s="67" t="n">
        <f aca="false">Travaux!$B$13+B$4</f>
        <v>0.07052</v>
      </c>
      <c r="C5" s="67" t="n">
        <f aca="false">Travaux!$B$13+C$4</f>
        <v>0.07352</v>
      </c>
      <c r="D5" s="67" t="n">
        <f aca="false">Travaux!$B$13+D$4</f>
        <v>0.07652</v>
      </c>
      <c r="E5" s="67" t="n">
        <f aca="false">Travaux!$B$13+E$4</f>
        <v>0.07952</v>
      </c>
      <c r="F5" s="67" t="n">
        <f aca="false">Travaux!$B$13+F$4</f>
        <v>0.08252</v>
      </c>
      <c r="G5" s="67" t="n">
        <f aca="false">Travaux!$B$13+G$4</f>
        <v>0.08552</v>
      </c>
      <c r="H5" s="67" t="n">
        <f aca="false">Travaux!$B$13+H$4</f>
        <v>0.08852</v>
      </c>
    </row>
    <row r="6" customFormat="false" ht="15" hidden="false" customHeight="true" outlineLevel="0" collapsed="false">
      <c r="A6" s="31" t="s">
        <v>375</v>
      </c>
      <c r="B6" s="49" t="n">
        <f aca="false">SUMPRODUCT(Travaux!$C$34:$G$34,1/(1+B5)^Travaux!$C$35:$G$35)</f>
        <v>2566.97301467272</v>
      </c>
      <c r="C6" s="49" t="n">
        <f aca="false">SUMPRODUCT(Travaux!$C$34:$G$34,1/(1+C5)^Travaux!$C$35:$G$35)</f>
        <v>2545.81359792292</v>
      </c>
      <c r="D6" s="49" t="n">
        <f aca="false">SUMPRODUCT(Travaux!$C$34:$G$34,1/(1+D5)^Travaux!$C$35:$G$35)</f>
        <v>2524.92627298657</v>
      </c>
      <c r="E6" s="49" t="n">
        <f aca="false">SUMPRODUCT(Travaux!$C$34:$G$34,1/(1+E5)^Travaux!$C$35:$G$35)</f>
        <v>2504.3065435696</v>
      </c>
      <c r="F6" s="49" t="n">
        <f aca="false">SUMPRODUCT(Travaux!$C$34:$G$34,1/(1+F5)^Travaux!$C$35:$G$35)</f>
        <v>2483.95000239429</v>
      </c>
      <c r="G6" s="49" t="n">
        <f aca="false">SUMPRODUCT(Travaux!$C$34:$G$34,1/(1+G5)^Travaux!$C$35:$G$35)</f>
        <v>2463.85232916386</v>
      </c>
      <c r="H6" s="49" t="n">
        <f aca="false">SUMPRODUCT(Travaux!$C$34:$G$34,1/(1+H5)^Travaux!$C$35:$G$35)</f>
        <v>2444.00928857952</v>
      </c>
    </row>
    <row r="7" customFormat="false" ht="15" hidden="false" customHeight="true" outlineLevel="0" collapsed="false">
      <c r="A7" s="31" t="s">
        <v>109</v>
      </c>
      <c r="B7" s="67" t="n">
        <f aca="false">'Eiffarie (APRR-AREA-Aliaé)'!$B$13+B$4</f>
        <v>0.046888680930491</v>
      </c>
      <c r="C7" s="67" t="n">
        <f aca="false">'Eiffarie (APRR-AREA-Aliaé)'!$B$13+C$4</f>
        <v>0.049888680930491</v>
      </c>
      <c r="D7" s="67" t="n">
        <f aca="false">'Eiffarie (APRR-AREA-Aliaé)'!$B$13+D$4</f>
        <v>0.052888680930491</v>
      </c>
      <c r="E7" s="67" t="n">
        <f aca="false">'Eiffarie (APRR-AREA-Aliaé)'!$B$13+E$4</f>
        <v>0.055888680930491</v>
      </c>
      <c r="F7" s="67" t="n">
        <f aca="false">'Eiffarie (APRR-AREA-Aliaé)'!$B$13+F$4</f>
        <v>0.058888680930491</v>
      </c>
      <c r="G7" s="67" t="n">
        <f aca="false">'Eiffarie (APRR-AREA-Aliaé)'!$B$13+G$4</f>
        <v>0.061888680930491</v>
      </c>
      <c r="H7" s="67" t="n">
        <f aca="false">'Eiffarie (APRR-AREA-Aliaé)'!$B$13+H$4</f>
        <v>0.064888680930491</v>
      </c>
    </row>
    <row r="8" customFormat="false" ht="15" hidden="false" customHeight="true" outlineLevel="0" collapsed="false">
      <c r="A8" s="31" t="s">
        <v>376</v>
      </c>
      <c r="B8" s="49" t="n">
        <f aca="false">SUMPRODUCT('Eiffarie (APRR-AREA-Aliaé)'!$C$35:$L$35,1/(1+B7)^'Eiffarie (APRR-AREA-Aliaé)'!$C$36:$L$36)</f>
        <v>13625.2466515389</v>
      </c>
      <c r="C8" s="49" t="n">
        <f aca="false">SUMPRODUCT('Eiffarie (APRR-AREA-Aliaé)'!$C$35:$L$35,1/(1+C7)^'Eiffarie (APRR-AREA-Aliaé)'!$C$36:$L$36)</f>
        <v>13419.6244147851</v>
      </c>
      <c r="D8" s="49" t="n">
        <f aca="false">SUMPRODUCT('Eiffarie (APRR-AREA-Aliaé)'!$C$35:$L$35,1/(1+D7)^'Eiffarie (APRR-AREA-Aliaé)'!$C$36:$L$36)</f>
        <v>13218.5653083255</v>
      </c>
      <c r="E8" s="49" t="n">
        <f aca="false">SUMPRODUCT('Eiffarie (APRR-AREA-Aliaé)'!$C$35:$L$35,1/(1+E7)^'Eiffarie (APRR-AREA-Aliaé)'!$C$36:$L$36)</f>
        <v>13021.9455766405</v>
      </c>
      <c r="F8" s="49" t="n">
        <f aca="false">SUMPRODUCT('Eiffarie (APRR-AREA-Aliaé)'!$C$35:$L$35,1/(1+F7)^'Eiffarie (APRR-AREA-Aliaé)'!$C$36:$L$36)</f>
        <v>12829.6453196618</v>
      </c>
      <c r="G8" s="49" t="n">
        <f aca="false">SUMPRODUCT('Eiffarie (APRR-AREA-Aliaé)'!$C$35:$L$35,1/(1+G7)^'Eiffarie (APRR-AREA-Aliaé)'!$C$36:$L$36)</f>
        <v>12641.5483588799</v>
      </c>
      <c r="H8" s="49" t="n">
        <f aca="false">SUMPRODUCT('Eiffarie (APRR-AREA-Aliaé)'!$C$35:$L$35,1/(1+H7)^'Eiffarie (APRR-AREA-Aliaé)'!$C$36:$L$36)</f>
        <v>12457.5421085435</v>
      </c>
    </row>
    <row r="9" customFormat="false" ht="15" hidden="false" customHeight="true" outlineLevel="0" collapsed="false">
      <c r="A9" s="31" t="s">
        <v>111</v>
      </c>
      <c r="B9" s="67" t="n">
        <f aca="false">'Autres concessions'!$B$13+B$4</f>
        <v>0.0510974207467171</v>
      </c>
      <c r="C9" s="67" t="n">
        <f aca="false">'Autres concessions'!$B$13+C$4</f>
        <v>0.0540974207467172</v>
      </c>
      <c r="D9" s="67" t="n">
        <f aca="false">'Autres concessions'!$B$13+D$4</f>
        <v>0.0570974207467171</v>
      </c>
      <c r="E9" s="67" t="n">
        <f aca="false">'Autres concessions'!$B$13+E$4</f>
        <v>0.0600974207467171</v>
      </c>
      <c r="F9" s="67" t="n">
        <f aca="false">'Autres concessions'!$B$13+F$4</f>
        <v>0.0630974207467172</v>
      </c>
      <c r="G9" s="67" t="n">
        <f aca="false">'Autres concessions'!$B$13+G$4</f>
        <v>0.0660974207467172</v>
      </c>
      <c r="H9" s="67" t="n">
        <f aca="false">'Autres concessions'!$B$13+H$4</f>
        <v>0.0690974207467171</v>
      </c>
    </row>
    <row r="10" customFormat="false" ht="15" hidden="false" customHeight="true" outlineLevel="0" collapsed="false">
      <c r="A10" s="31" t="s">
        <v>377</v>
      </c>
      <c r="B10" s="49" t="n">
        <f aca="false">SUMPRODUCT('Autres concessions'!$C$34:$Q$34,1/(1+B9)^'Autres concessions'!$C$35:$Q$35)</f>
        <v>3144.07007285913</v>
      </c>
      <c r="C10" s="49" t="n">
        <f aca="false">SUMPRODUCT('Autres concessions'!$C$34:$Q$34,1/(1+C9)^'Autres concessions'!$C$35:$Q$35)</f>
        <v>3077.52922468785</v>
      </c>
      <c r="D10" s="49" t="n">
        <f aca="false">SUMPRODUCT('Autres concessions'!$C$34:$Q$34,1/(1+D9)^'Autres concessions'!$C$35:$Q$35)</f>
        <v>3013.03066167892</v>
      </c>
      <c r="E10" s="49" t="n">
        <f aca="false">SUMPRODUCT('Autres concessions'!$C$34:$Q$34,1/(1+E9)^'Autres concessions'!$C$35:$Q$35)</f>
        <v>2950.49912349944</v>
      </c>
      <c r="F10" s="49" t="n">
        <f aca="false">SUMPRODUCT('Autres concessions'!$C$34:$Q$34,1/(1+F9)^'Autres concessions'!$C$35:$Q$35)</f>
        <v>2889.86248070198</v>
      </c>
      <c r="G10" s="49" t="n">
        <f aca="false">SUMPRODUCT('Autres concessions'!$C$34:$Q$34,1/(1+G9)^'Autres concessions'!$C$35:$Q$35)</f>
        <v>2831.05159186254</v>
      </c>
      <c r="H10" s="49" t="n">
        <f aca="false">SUMPRODUCT('Autres concessions'!$C$34:$Q$34,1/(1+H9)^'Autres concessions'!$C$35:$Q$35)</f>
        <v>2774.00016775312</v>
      </c>
    </row>
    <row r="11" customFormat="false" ht="15" hidden="false" customHeight="true" outlineLevel="0" collapsed="false">
      <c r="A11" s="31" t="s">
        <v>378</v>
      </c>
      <c r="B11" s="49" t="n">
        <f aca="false">IF('Autres concessions'!$B$44&gt;0,'Autres concessions'!$Q$34*(1+'Autres concessions'!$B$42)/(B9-'Autres concessions'!$B$42)*(1-((1+'Autres concessions'!$B$42)/(1+B9))^'Autres concessions'!$B$44)/(1+B9)^'Autres concessions'!$Q$35,0)</f>
        <v>2339.05583168291</v>
      </c>
      <c r="C11" s="49" t="n">
        <f aca="false">IF('Autres concessions'!$B$44&gt;0,'Autres concessions'!$Q$34*(1+'Autres concessions'!$B$42)/(C9-'Autres concessions'!$B$42)*(1-((1+'Autres concessions'!$B$42)/(1+C9))^'Autres concessions'!$B$44)/(1+C9)^'Autres concessions'!$Q$35,0)</f>
        <v>2183.72330679267</v>
      </c>
      <c r="D11" s="49" t="n">
        <f aca="false">IF('Autres concessions'!$B$44&gt;0,'Autres concessions'!$Q$34*(1+'Autres concessions'!$B$42)/(D9-'Autres concessions'!$B$42)*(1-((1+'Autres concessions'!$B$42)/(1+D9))^'Autres concessions'!$B$44)/(1+D9)^'Autres concessions'!$Q$35,0)</f>
        <v>2039.63237286016</v>
      </c>
      <c r="E11" s="49" t="n">
        <f aca="false">IF('Autres concessions'!$B$44&gt;0,'Autres concessions'!$Q$34*(1+'Autres concessions'!$B$42)/(E9-'Autres concessions'!$B$42)*(1-((1+'Autres concessions'!$B$42)/(1+E9))^'Autres concessions'!$B$44)/(1+E9)^'Autres concessions'!$Q$35,0)</f>
        <v>1905.90589311656</v>
      </c>
      <c r="F11" s="49" t="n">
        <f aca="false">IF('Autres concessions'!$B$44&gt;0,'Autres concessions'!$Q$34*(1+'Autres concessions'!$B$42)/(F9-'Autres concessions'!$B$42)*(1-((1+'Autres concessions'!$B$42)/(1+F9))^'Autres concessions'!$B$44)/(1+F9)^'Autres concessions'!$Q$35,0)</f>
        <v>1781.73977630687</v>
      </c>
      <c r="G11" s="49" t="n">
        <f aca="false">IF('Autres concessions'!$B$44&gt;0,'Autres concessions'!$Q$34*(1+'Autres concessions'!$B$42)/(G9-'Autres concessions'!$B$42)*(1-((1+'Autres concessions'!$B$42)/(1+G9))^'Autres concessions'!$B$44)/(1+G9)^'Autres concessions'!$Q$35,0)</f>
        <v>1666.39654134668</v>
      </c>
      <c r="H11" s="49" t="n">
        <f aca="false">IF('Autres concessions'!$B$44&gt;0,'Autres concessions'!$Q$34*(1+'Autres concessions'!$B$42)/(H9-'Autres concessions'!$B$42)*(1-((1+'Autres concessions'!$B$42)/(1+H9))^'Autres concessions'!$B$44)/(1+H9)^'Autres concessions'!$Q$35,0)</f>
        <v>1559.19947737812</v>
      </c>
    </row>
    <row r="12" customFormat="false" ht="15" hidden="false" customHeight="true" outlineLevel="0" collapsed="false">
      <c r="A12" s="31" t="s">
        <v>379</v>
      </c>
      <c r="B12" s="34" t="n">
        <f aca="false">B10+B11</f>
        <v>5483.12590454204</v>
      </c>
      <c r="C12" s="34" t="n">
        <f aca="false">C10+C11</f>
        <v>5261.25253148052</v>
      </c>
      <c r="D12" s="34" t="n">
        <f aca="false">D10+D11</f>
        <v>5052.66303453908</v>
      </c>
      <c r="E12" s="34" t="n">
        <f aca="false">E10+E11</f>
        <v>4856.405016616</v>
      </c>
      <c r="F12" s="34" t="n">
        <f aca="false">F10+F11</f>
        <v>4671.60225700885</v>
      </c>
      <c r="G12" s="34" t="n">
        <f aca="false">G10+G11</f>
        <v>4497.44813320921</v>
      </c>
      <c r="H12" s="34" t="n">
        <f aca="false">H10+H11</f>
        <v>4333.19964513124</v>
      </c>
    </row>
    <row r="13" customFormat="false" ht="15" hidden="false" customHeight="true" outlineLevel="0" collapsed="false">
      <c r="A13" s="31" t="s">
        <v>380</v>
      </c>
      <c r="B13" s="49" t="n">
        <f aca="false">MAX(B8-SOTP!$C$8,0)*SOTP!$C$10</f>
        <v>3409.47949205791</v>
      </c>
      <c r="C13" s="49" t="n">
        <f aca="false">MAX(C8-SOTP!$C$8,0)*SOTP!$C$10</f>
        <v>3301.52781776216</v>
      </c>
      <c r="D13" s="49" t="n">
        <f aca="false">MAX(D8-SOTP!$C$8,0)*SOTP!$C$10</f>
        <v>3195.97178687091</v>
      </c>
      <c r="E13" s="49" t="n">
        <f aca="false">MAX(E8-SOTP!$C$8,0)*SOTP!$C$10</f>
        <v>3092.74642773625</v>
      </c>
      <c r="F13" s="49" t="n">
        <f aca="false">MAX(F8-SOTP!$C$8,0)*SOTP!$C$10</f>
        <v>2991.78879282243</v>
      </c>
      <c r="G13" s="49" t="n">
        <f aca="false">MAX(G8-SOTP!$C$8,0)*SOTP!$C$10</f>
        <v>2893.03788841196</v>
      </c>
      <c r="H13" s="49" t="n">
        <f aca="false">MAX(H8-SOTP!$C$8,0)*SOTP!$C$10</f>
        <v>2796.43460698535</v>
      </c>
    </row>
    <row r="14" customFormat="false" ht="15" hidden="false" customHeight="true" outlineLevel="0" collapsed="false">
      <c r="A14" s="31" t="s">
        <v>381</v>
      </c>
      <c r="B14" s="49" t="n">
        <f aca="false">MAX(B12-SOTP!$D$8,0)*SOTP!$D$10</f>
        <v>2284.31331408784</v>
      </c>
      <c r="C14" s="49" t="n">
        <f aca="false">MAX(C12-SOTP!$D$8,0)*SOTP!$D$10</f>
        <v>2084.62727833247</v>
      </c>
      <c r="D14" s="49" t="n">
        <f aca="false">MAX(D12-SOTP!$D$8,0)*SOTP!$D$10</f>
        <v>1896.89673108517</v>
      </c>
      <c r="E14" s="49" t="n">
        <f aca="false">MAX(E12-SOTP!$D$8,0)*SOTP!$D$10</f>
        <v>1720.2645149544</v>
      </c>
      <c r="F14" s="49" t="n">
        <f aca="false">MAX(F12-SOTP!$D$8,0)*SOTP!$D$10</f>
        <v>1553.94203130796</v>
      </c>
      <c r="G14" s="49" t="n">
        <f aca="false">MAX(G12-SOTP!$D$8,0)*SOTP!$D$10</f>
        <v>1397.20331988829</v>
      </c>
      <c r="H14" s="49" t="n">
        <f aca="false">MAX(H12-SOTP!$D$8,0)*SOTP!$D$10</f>
        <v>1249.37968061812</v>
      </c>
    </row>
    <row r="15" customFormat="false" ht="15" hidden="false" customHeight="true" outlineLevel="0" collapsed="false">
      <c r="A15" s="31"/>
      <c r="B15" s="49"/>
      <c r="C15" s="49"/>
      <c r="D15" s="49"/>
      <c r="E15" s="49"/>
      <c r="F15" s="49"/>
      <c r="G15" s="49"/>
      <c r="H15" s="49"/>
    </row>
    <row r="16" customFormat="false" ht="15" hidden="false" customHeight="true" outlineLevel="0" collapsed="false">
      <c r="A16" s="31"/>
      <c r="B16" s="49"/>
      <c r="C16" s="49"/>
      <c r="D16" s="49"/>
      <c r="E16" s="49"/>
      <c r="F16" s="49"/>
      <c r="G16" s="49"/>
      <c r="H16" s="49"/>
    </row>
    <row r="19" customFormat="false" ht="15" hidden="false" customHeight="true" outlineLevel="0" collapsed="false">
      <c r="A19" s="26" t="s">
        <v>382</v>
      </c>
    </row>
    <row r="20" customFormat="false" ht="15" hidden="false" customHeight="true" outlineLevel="0" collapsed="false">
      <c r="A20" s="31" t="s">
        <v>383</v>
      </c>
      <c r="C20" s="66" t="n">
        <v>-0.006</v>
      </c>
      <c r="D20" s="66" t="n">
        <v>-0.003</v>
      </c>
      <c r="E20" s="66" t="n">
        <v>0</v>
      </c>
      <c r="F20" s="66" t="n">
        <v>0.003</v>
      </c>
      <c r="G20" s="66" t="n">
        <v>0.006</v>
      </c>
    </row>
    <row r="21" customFormat="false" ht="15" hidden="false" customHeight="true" outlineLevel="0" collapsed="false">
      <c r="A21" s="26" t="s">
        <v>384</v>
      </c>
      <c r="B21" s="68" t="s">
        <v>106</v>
      </c>
      <c r="C21" s="69" t="n">
        <f aca="false">Travaux!$B$42+C20</f>
        <v>0.003</v>
      </c>
      <c r="D21" s="69" t="n">
        <f aca="false">Travaux!$B$42+D20</f>
        <v>0.006</v>
      </c>
      <c r="E21" s="69" t="n">
        <f aca="false">Travaux!$B$42+E20</f>
        <v>0.009</v>
      </c>
      <c r="F21" s="69" t="n">
        <f aca="false">Travaux!$B$42+F20</f>
        <v>0.012</v>
      </c>
      <c r="G21" s="69" t="n">
        <f aca="false">Travaux!$B$42+G20</f>
        <v>0.015</v>
      </c>
    </row>
    <row r="22" customFormat="false" ht="15" hidden="false" customHeight="true" outlineLevel="0" collapsed="false">
      <c r="A22" s="70" t="n">
        <f aca="false">B4</f>
        <v>-0.009</v>
      </c>
      <c r="B22" s="71" t="n">
        <f aca="false">B5</f>
        <v>0.07052</v>
      </c>
      <c r="C22" s="63" t="n">
        <f aca="false">((B$6+Travaux!$G$30*(1+C$21)/(B$5-C$21)/(1+B$5)^Travaux!$G$35)-SOTP!$B$8-SOTP!$B$11+B$13+B$14+SOTP!$E$13+Hypothèses!$B$21*(B$6+Travaux!$G$30*(1+C$21)/(B$5-C$21)/(1+B$5)^Travaux!$G$35)/SOTP!$B$4)/Hypothèses!$B$10</f>
        <v>192.479788308814</v>
      </c>
      <c r="D22" s="63" t="n">
        <f aca="false">((B$6+Travaux!$G$30*(1+D$21)/(B$5-D$21)/(1+B$5)^Travaux!$G$35)-SOTP!$B$8-SOTP!$B$11+B$13+B$14+SOTP!$E$13+Hypothèses!$B$21*(B$6+Travaux!$G$30*(1+D$21)/(B$5-D$21)/(1+B$5)^Travaux!$G$35)/SOTP!$B$4)/Hypothèses!$B$10</f>
        <v>195.560784799417</v>
      </c>
      <c r="E22" s="63" t="n">
        <f aca="false">((B$6+Travaux!$G$30*(1+E$21)/(B$5-E$21)/(1+B$5)^Travaux!$G$35)-SOTP!$B$8-SOTP!$B$11+B$13+B$14+SOTP!$E$13+Hypothèses!$B$21*(B$6+Travaux!$G$30*(1+E$21)/(B$5-E$21)/(1+B$5)^Travaux!$G$35)/SOTP!$B$4)/Hypothèses!$B$10</f>
        <v>198.942268594044</v>
      </c>
      <c r="F22" s="63" t="n">
        <f aca="false">((B$6+Travaux!$G$30*(1+F$21)/(B$5-F$21)/(1+B$5)^Travaux!$G$35)-SOTP!$B$8-SOTP!$B$11+B$13+B$14+SOTP!$E$13+Hypothèses!$B$21*(B$6+Travaux!$G$30*(1+F$21)/(B$5-F$21)/(1+B$5)^Travaux!$G$35)/SOTP!$B$4)/Hypothèses!$B$10</f>
        <v>202.670452709379</v>
      </c>
      <c r="G22" s="63" t="n">
        <f aca="false">((B$6+Travaux!$G$30*(1+G$21)/(B$5-G$21)/(1+B$5)^Travaux!$G$35)-SOTP!$B$8-SOTP!$B$11+B$13+B$14+SOTP!$E$13+Hypothèses!$B$21*(B$6+Travaux!$G$30*(1+G$21)/(B$5-G$21)/(1+B$5)^Travaux!$G$35)/SOTP!$B$4)/Hypothèses!$B$10</f>
        <v>206.801538566284</v>
      </c>
    </row>
    <row r="23" customFormat="false" ht="15" hidden="false" customHeight="true" outlineLevel="0" collapsed="false">
      <c r="A23" s="70" t="n">
        <f aca="false">C4</f>
        <v>-0.006</v>
      </c>
      <c r="B23" s="71" t="n">
        <f aca="false">C5</f>
        <v>0.07352</v>
      </c>
      <c r="C23" s="63" t="n">
        <f aca="false">((C$6+Travaux!$G$30*(1+C$21)/(C$5-C$21)/(1+C$5)^Travaux!$G$35)-SOTP!$B$8-SOTP!$B$11+C$13+C$14+SOTP!$E$13+Hypothèses!$B$21*(C$6+Travaux!$G$30*(1+C$21)/(C$5-C$21)/(1+C$5)^Travaux!$G$35)/SOTP!$B$4)/Hypothèses!$B$10</f>
        <v>185.557535169711</v>
      </c>
      <c r="D23" s="63" t="n">
        <f aca="false">((C$6+Travaux!$G$30*(1+D$21)/(C$5-D$21)/(1+C$5)^Travaux!$G$35)-SOTP!$B$8-SOTP!$B$11+C$13+C$14+SOTP!$E$13+Hypothèses!$B$21*(C$6+Travaux!$G$30*(1+D$21)/(C$5-D$21)/(1+C$5)^Travaux!$G$35)/SOTP!$B$4)/Hypothèses!$B$10</f>
        <v>188.345015688483</v>
      </c>
      <c r="E23" s="63" t="n">
        <f aca="false">((C$6+Travaux!$G$30*(1+E$21)/(C$5-E$21)/(1+C$5)^Travaux!$G$35)-SOTP!$B$8-SOTP!$B$11+C$13+C$14+SOTP!$E$13+Hypothèses!$B$21*(C$6+Travaux!$G$30*(1+E$21)/(C$5-E$21)/(1+C$5)^Travaux!$G$35)/SOTP!$B$4)/Hypothèses!$B$10</f>
        <v>191.391716342292</v>
      </c>
      <c r="F23" s="63" t="n">
        <f aca="false">((C$6+Travaux!$G$30*(1+F$21)/(C$5-F$21)/(1+C$5)^Travaux!$G$35)-SOTP!$B$8-SOTP!$B$11+C$13+C$14+SOTP!$E$13+Hypothèses!$B$21*(C$6+Travaux!$G$30*(1+F$21)/(C$5-F$21)/(1+C$5)^Travaux!$G$35)/SOTP!$B$4)/Hypothèses!$B$10</f>
        <v>194.735559452585</v>
      </c>
      <c r="G23" s="63" t="n">
        <f aca="false">((C$6+Travaux!$G$30*(1+G$21)/(C$5-G$21)/(1+C$5)^Travaux!$G$35)-SOTP!$B$8-SOTP!$B$11+C$13+C$14+SOTP!$E$13+Hypothèses!$B$21*(C$6+Travaux!$G$30*(1+G$21)/(C$5-G$21)/(1+C$5)^Travaux!$G$35)/SOTP!$B$4)/Hypothèses!$B$10</f>
        <v>198.422243619982</v>
      </c>
    </row>
    <row r="24" customFormat="false" ht="15" hidden="false" customHeight="true" outlineLevel="0" collapsed="false">
      <c r="A24" s="70" t="n">
        <f aca="false">D4</f>
        <v>-0.003</v>
      </c>
      <c r="B24" s="71" t="n">
        <f aca="false">D5</f>
        <v>0.07652</v>
      </c>
      <c r="C24" s="63" t="n">
        <f aca="false">((D$6+Travaux!$G$30*(1+C$21)/(D$5-C$21)/(1+D$5)^Travaux!$G$35)-SOTP!$B$8-SOTP!$B$11+D$13+D$14+SOTP!$E$13+Hypothèses!$B$21*(D$6+Travaux!$G$30*(1+C$21)/(D$5-C$21)/(1+D$5)^Travaux!$G$35)/SOTP!$B$4)/Hypothèses!$B$10</f>
        <v>179.085158652371</v>
      </c>
      <c r="D24" s="63" t="n">
        <f aca="false">((D$6+Travaux!$G$30*(1+D$21)/(D$5-D$21)/(1+D$5)^Travaux!$G$35)-SOTP!$B$8-SOTP!$B$11+D$13+D$14+SOTP!$E$13+Hypothèses!$B$21*(D$6+Travaux!$G$30*(1+D$21)/(D$5-D$21)/(1+D$5)^Travaux!$G$35)/SOTP!$B$4)/Hypothèses!$B$10</f>
        <v>181.616734389722</v>
      </c>
      <c r="E24" s="63" t="n">
        <f aca="false">((D$6+Travaux!$G$30*(1+E$21)/(D$5-E$21)/(1+D$5)^Travaux!$G$35)-SOTP!$B$8-SOTP!$B$11+D$13+D$14+SOTP!$E$13+Hypothèses!$B$21*(D$6+Travaux!$G$30*(1+E$21)/(D$5-E$21)/(1+D$5)^Travaux!$G$35)/SOTP!$B$4)/Hypothèses!$B$10</f>
        <v>184.37327242601</v>
      </c>
      <c r="F24" s="63" t="n">
        <f aca="false">((D$6+Travaux!$G$30*(1+F$21)/(D$5-F$21)/(1+D$5)^Travaux!$G$35)-SOTP!$B$8-SOTP!$B$11+D$13+D$14+SOTP!$E$13+Hypothèses!$B$21*(D$6+Travaux!$G$30*(1+F$21)/(D$5-F$21)/(1+D$5)^Travaux!$G$35)/SOTP!$B$4)/Hypothèses!$B$10</f>
        <v>187.386153119112</v>
      </c>
      <c r="G24" s="63" t="n">
        <f aca="false">((D$6+Travaux!$G$30*(1+G$21)/(D$5-G$21)/(1+D$5)^Travaux!$G$35)-SOTP!$B$8-SOTP!$B$11+D$13+D$14+SOTP!$E$13+Hypothèses!$B$21*(D$6+Travaux!$G$30*(1+G$21)/(D$5-G$21)/(1+D$5)^Travaux!$G$35)/SOTP!$B$4)/Hypothèses!$B$10</f>
        <v>190.692877832999</v>
      </c>
    </row>
    <row r="25" customFormat="false" ht="15" hidden="false" customHeight="true" outlineLevel="0" collapsed="false">
      <c r="A25" s="70" t="n">
        <f aca="false">E4</f>
        <v>0</v>
      </c>
      <c r="B25" s="71" t="n">
        <f aca="false">E5</f>
        <v>0.07952</v>
      </c>
      <c r="C25" s="63" t="n">
        <f aca="false">((E$6+Travaux!$G$30*(1+C$21)/(E$5-C$21)/(1+E$5)^Travaux!$G$35)-SOTP!$B$8-SOTP!$B$11+E$13+E$14+SOTP!$E$13+Hypothèses!$B$21*(E$6+Travaux!$G$30*(1+C$21)/(E$5-C$21)/(1+E$5)^Travaux!$G$35)/SOTP!$B$4)/Hypothèses!$B$10</f>
        <v>173.017840850033</v>
      </c>
      <c r="D25" s="63" t="n">
        <f aca="false">((E$6+Travaux!$G$30*(1+D$21)/(E$5-D$21)/(1+E$5)^Travaux!$G$35)-SOTP!$B$8-SOTP!$B$11+E$13+E$14+SOTP!$E$13+Hypothèses!$B$21*(E$6+Travaux!$G$30*(1+D$21)/(E$5-D$21)/(1+E$5)^Travaux!$G$35)/SOTP!$B$4)/Hypothèses!$B$10</f>
        <v>175.325086876188</v>
      </c>
      <c r="E25" s="72" t="n">
        <f aca="false">((E$6+Travaux!$G$30*(1+E$21)/(E$5-E$21)/(1+E$5)^Travaux!$G$35)-SOTP!$B$8-SOTP!$B$11+E$13+E$14+SOTP!$E$13+Hypothèses!$B$21*(E$6+Travaux!$G$30*(1+E$21)/(E$5-E$21)/(1+E$5)^Travaux!$G$35)/SOTP!$B$4)/Hypothèses!$B$10</f>
        <v>177.828638576718</v>
      </c>
      <c r="F25" s="63" t="n">
        <f aca="false">((E$6+Travaux!$G$30*(1+F$21)/(E$5-F$21)/(1+E$5)^Travaux!$G$35)-SOTP!$B$8-SOTP!$B$11+E$13+E$14+SOTP!$E$13+Hypothèses!$B$21*(E$6+Travaux!$G$30*(1+F$21)/(E$5-F$21)/(1+E$5)^Travaux!$G$35)/SOTP!$B$4)/Hypothèses!$B$10</f>
        <v>180.554662288552</v>
      </c>
      <c r="G25" s="63" t="n">
        <f aca="false">((E$6+Travaux!$G$30*(1+G$21)/(E$5-G$21)/(1+E$5)^Travaux!$G$35)-SOTP!$B$8-SOTP!$B$11+E$13+E$14+SOTP!$E$13+Hypothèses!$B$21*(E$6+Travaux!$G$30*(1+G$21)/(E$5-G$21)/(1+E$5)^Travaux!$G$35)/SOTP!$B$4)/Hypothèses!$B$10</f>
        <v>183.534190995286</v>
      </c>
    </row>
    <row r="26" customFormat="false" ht="15" hidden="false" customHeight="true" outlineLevel="0" collapsed="false">
      <c r="A26" s="70" t="n">
        <f aca="false">F4</f>
        <v>0.003</v>
      </c>
      <c r="B26" s="71" t="n">
        <f aca="false">F5</f>
        <v>0.08252</v>
      </c>
      <c r="C26" s="63" t="n">
        <f aca="false">((F$6+Travaux!$G$30*(1+C$21)/(F$5-C$21)/(1+F$5)^Travaux!$G$35)-SOTP!$B$8-SOTP!$B$11+F$13+F$14+SOTP!$E$13+Hypothèses!$B$21*(F$6+Travaux!$G$30*(1+C$21)/(F$5-C$21)/(1+F$5)^Travaux!$G$35)/SOTP!$B$4)/Hypothèses!$B$10</f>
        <v>167.316805010208</v>
      </c>
      <c r="D26" s="63" t="n">
        <f aca="false">((F$6+Travaux!$G$30*(1+D$21)/(F$5-D$21)/(1+F$5)^Travaux!$G$35)-SOTP!$B$8-SOTP!$B$11+F$13+F$14+SOTP!$E$13+Hypothèses!$B$21*(F$6+Travaux!$G$30*(1+D$21)/(F$5-D$21)/(1+F$5)^Travaux!$G$35)/SOTP!$B$4)/Hypothèses!$B$10</f>
        <v>169.426414592381</v>
      </c>
      <c r="E26" s="63" t="n">
        <f aca="false">((F$6+Travaux!$G$30*(1+E$21)/(F$5-E$21)/(1+F$5)^Travaux!$G$35)-SOTP!$B$8-SOTP!$B$11+F$13+F$14+SOTP!$E$13+Hypothèses!$B$21*(F$6+Travaux!$G$30*(1+E$21)/(F$5-E$21)/(1+F$5)^Travaux!$G$35)/SOTP!$B$4)/Hypothèses!$B$10</f>
        <v>171.70819035373</v>
      </c>
      <c r="F26" s="63" t="n">
        <f aca="false">((F$6+Travaux!$G$30*(1+F$21)/(F$5-F$21)/(1+F$5)^Travaux!$G$35)-SOTP!$B$8-SOTP!$B$11+F$13+F$14+SOTP!$E$13+Hypothèses!$B$21*(F$6+Travaux!$G$30*(1+F$21)/(F$5-F$21)/(1+F$5)^Travaux!$G$35)/SOTP!$B$4)/Hypothèses!$B$10</f>
        <v>174.184104722114</v>
      </c>
      <c r="G26" s="63" t="n">
        <f aca="false">((F$6+Travaux!$G$30*(1+G$21)/(F$5-G$21)/(1+F$5)^Travaux!$G$35)-SOTP!$B$8-SOTP!$B$11+F$13+F$14+SOTP!$E$13+Hypothèses!$B$21*(F$6+Travaux!$G$30*(1+G$21)/(F$5-G$21)/(1+F$5)^Travaux!$G$35)/SOTP!$B$4)/Hypothèses!$B$10</f>
        <v>176.880035177736</v>
      </c>
    </row>
    <row r="27" customFormat="false" ht="15" hidden="false" customHeight="true" outlineLevel="0" collapsed="false">
      <c r="A27" s="70" t="n">
        <f aca="false">G4</f>
        <v>0.006</v>
      </c>
      <c r="B27" s="71" t="n">
        <f aca="false">G5</f>
        <v>0.08552</v>
      </c>
      <c r="C27" s="63" t="n">
        <f aca="false">((G$6+Travaux!$G$30*(1+C$21)/(G$5-C$21)/(1+G$5)^Travaux!$G$35)-SOTP!$B$8-SOTP!$B$11+G$13+G$14+SOTP!$E$13+Hypothèses!$B$21*(G$6+Travaux!$G$30*(1+C$21)/(G$5-C$21)/(1+G$5)^Travaux!$G$35)/SOTP!$B$4)/Hypothèses!$B$10</f>
        <v>161.948289364709</v>
      </c>
      <c r="D27" s="63" t="n">
        <f aca="false">((G$6+Travaux!$G$30*(1+D$21)/(G$5-D$21)/(1+G$5)^Travaux!$G$35)-SOTP!$B$8-SOTP!$B$11+G$13+G$14+SOTP!$E$13+Hypothèses!$B$21*(G$6+Travaux!$G$30*(1+D$21)/(G$5-D$21)/(1+G$5)^Travaux!$G$35)/SOTP!$B$4)/Hypothèses!$B$10</f>
        <v>163.882974207098</v>
      </c>
      <c r="E27" s="63" t="n">
        <f aca="false">((G$6+Travaux!$G$30*(1+E$21)/(G$5-E$21)/(1+G$5)^Travaux!$G$35)-SOTP!$B$8-SOTP!$B$11+G$13+G$14+SOTP!$E$13+Hypothèses!$B$21*(G$6+Travaux!$G$30*(1+E$21)/(G$5-E$21)/(1+G$5)^Travaux!$G$35)/SOTP!$B$4)/Hypothèses!$B$10</f>
        <v>165.969359376909</v>
      </c>
      <c r="F27" s="63" t="n">
        <f aca="false">((G$6+Travaux!$G$30*(1+F$21)/(G$5-F$21)/(1+G$5)^Travaux!$G$35)-SOTP!$B$8-SOTP!$B$11+G$13+G$14+SOTP!$E$13+Hypothèses!$B$21*(G$6+Travaux!$G$30*(1+F$21)/(G$5-F$21)/(1+G$5)^Travaux!$G$35)/SOTP!$B$4)/Hypothèses!$B$10</f>
        <v>168.226015371243</v>
      </c>
      <c r="G27" s="63" t="n">
        <f aca="false">((G$6+Travaux!$G$30*(1+G$21)/(G$5-G$21)/(1+G$5)^Travaux!$G$35)-SOTP!$B$8-SOTP!$B$11+G$13+G$14+SOTP!$E$13+Hypothèses!$B$21*(G$6+Travaux!$G$30*(1+G$21)/(G$5-G$21)/(1+G$5)^Travaux!$G$35)/SOTP!$B$4)/Hypothèses!$B$10</f>
        <v>170.67467272641</v>
      </c>
    </row>
    <row r="28" customFormat="false" ht="15" hidden="false" customHeight="true" outlineLevel="0" collapsed="false">
      <c r="A28" s="70" t="n">
        <f aca="false">H4</f>
        <v>0.009</v>
      </c>
      <c r="B28" s="71" t="n">
        <f aca="false">H5</f>
        <v>0.08852</v>
      </c>
      <c r="C28" s="63" t="n">
        <f aca="false">((H$6+Travaux!$G$30*(1+C$21)/(H$5-C$21)/(1+H$5)^Travaux!$G$35)-SOTP!$B$8-SOTP!$B$11+H$13+H$14+SOTP!$E$13+Hypothèses!$B$21*(H$6+Travaux!$G$30*(1+C$21)/(H$5-C$21)/(1+H$5)^Travaux!$G$35)/SOTP!$B$4)/Hypothèses!$B$10</f>
        <v>156.882729413576</v>
      </c>
      <c r="D28" s="63" t="n">
        <f aca="false">((H$6+Travaux!$G$30*(1+D$21)/(H$5-D$21)/(1+H$5)^Travaux!$G$35)-SOTP!$B$8-SOTP!$B$11+H$13+H$14+SOTP!$E$13+Hypothèses!$B$21*(H$6+Travaux!$G$30*(1+D$21)/(H$5-D$21)/(1+H$5)^Travaux!$G$35)/SOTP!$B$4)/Hypothèses!$B$10</f>
        <v>158.661928611717</v>
      </c>
      <c r="E28" s="63" t="n">
        <f aca="false">((H$6+Travaux!$G$30*(1+E$21)/(H$5-E$21)/(1+H$5)^Travaux!$G$35)-SOTP!$B$8-SOTP!$B$11+H$13+H$14+SOTP!$E$13+Hypothèses!$B$21*(H$6+Travaux!$G$30*(1+E$21)/(H$5-E$21)/(1+H$5)^Travaux!$G$35)/SOTP!$B$4)/Hypothèses!$B$10</f>
        <v>160.575373222194</v>
      </c>
      <c r="F28" s="63" t="n">
        <f aca="false">((H$6+Travaux!$G$30*(1+F$21)/(H$5-F$21)/(1+H$5)^Travaux!$G$35)-SOTP!$B$8-SOTP!$B$11+H$13+H$14+SOTP!$E$13+Hypothèses!$B$21*(H$6+Travaux!$G$30*(1+F$21)/(H$5-F$21)/(1+H$5)^Travaux!$G$35)/SOTP!$B$4)/Hypothèses!$B$10</f>
        <v>162.638852694965</v>
      </c>
      <c r="G28" s="63" t="n">
        <f aca="false">((H$6+Travaux!$G$30*(1+G$21)/(H$5-G$21)/(1+H$5)^Travaux!$G$35)-SOTP!$B$8-SOTP!$B$11+H$13+H$14+SOTP!$E$13+Hypothèses!$B$21*(H$6+Travaux!$G$30*(1+G$21)/(H$5-G$21)/(1+H$5)^Travaux!$G$35)/SOTP!$B$4)/Hypothèses!$B$10</f>
        <v>164.870733648105</v>
      </c>
    </row>
    <row r="30" customFormat="false" ht="15" hidden="false" customHeight="true" outlineLevel="0" collapsed="false">
      <c r="A30" s="73" t="s">
        <v>385</v>
      </c>
      <c r="B30" s="74" t="n">
        <f aca="false">E25-SOTP!E17</f>
        <v>0</v>
      </c>
    </row>
    <row r="32" customFormat="false" ht="15" hidden="false" customHeight="true" outlineLevel="0" collapsed="false">
      <c r="A32" s="33" t="s">
        <v>386</v>
      </c>
    </row>
    <row r="33" customFormat="false" ht="15" hidden="false" customHeight="true" outlineLevel="0" collapsed="false">
      <c r="A33" s="33" t="s">
        <v>387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EECE1"/>
    <pageSetUpPr fitToPage="false"/>
  </sheetPr>
  <dimension ref="A1:I48"/>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A2" activeCellId="0" sqref="A2"/>
    </sheetView>
  </sheetViews>
  <sheetFormatPr defaultColWidth="8.6328125" defaultRowHeight="14.25" zeroHeight="false" outlineLevelRow="0" outlineLevelCol="0"/>
  <cols>
    <col collapsed="false" customWidth="true" hidden="false" outlineLevel="0" max="1" min="1" style="1" width="46"/>
    <col collapsed="false" customWidth="true" hidden="false" outlineLevel="0" max="2" min="2" style="1" width="12"/>
    <col collapsed="false" customWidth="true" hidden="false" outlineLevel="0" max="8" min="3" style="1" width="10.54"/>
  </cols>
  <sheetData>
    <row r="1" customFormat="false" ht="16.5" hidden="false" customHeight="true" outlineLevel="0" collapsed="false">
      <c r="A1" s="41" t="s">
        <v>388</v>
      </c>
    </row>
    <row r="3" customFormat="false" ht="14.25" hidden="false" customHeight="true" outlineLevel="0" collapsed="false">
      <c r="A3" s="75" t="s">
        <v>389</v>
      </c>
      <c r="B3" s="76" t="s">
        <v>67</v>
      </c>
    </row>
    <row r="4" customFormat="false" ht="14.25" hidden="false" customHeight="true" outlineLevel="0" collapsed="false">
      <c r="A4" s="77" t="s">
        <v>70</v>
      </c>
      <c r="B4" s="78" t="n">
        <f aca="false">Hypothèses!B5</f>
        <v>0.04</v>
      </c>
    </row>
    <row r="5" customFormat="false" ht="14.25" hidden="false" customHeight="true" outlineLevel="0" collapsed="false">
      <c r="A5" s="79" t="s">
        <v>390</v>
      </c>
      <c r="B5" s="80" t="n">
        <v>0.8</v>
      </c>
      <c r="C5" s="42" t="s">
        <v>391</v>
      </c>
    </row>
    <row r="6" customFormat="false" ht="14.25" hidden="false" customHeight="true" outlineLevel="0" collapsed="false">
      <c r="A6" s="79" t="s">
        <v>392</v>
      </c>
      <c r="B6" s="80" t="n">
        <v>0</v>
      </c>
      <c r="C6" s="42" t="s">
        <v>393</v>
      </c>
    </row>
    <row r="7" customFormat="false" ht="14.25" hidden="false" customHeight="true" outlineLevel="0" collapsed="false">
      <c r="A7" s="79" t="s">
        <v>394</v>
      </c>
      <c r="B7" s="81" t="n">
        <f aca="false">Hypothèses!B7</f>
        <v>0.268</v>
      </c>
    </row>
    <row r="8" customFormat="false" ht="14.25" hidden="false" customHeight="true" outlineLevel="0" collapsed="false">
      <c r="A8" s="79" t="s">
        <v>395</v>
      </c>
      <c r="B8" s="82" t="n">
        <f aca="false">B5*(1+(1-B7)*B6)</f>
        <v>0.8</v>
      </c>
      <c r="C8" s="42" t="s">
        <v>396</v>
      </c>
    </row>
    <row r="9" customFormat="false" ht="14.25" hidden="false" customHeight="true" outlineLevel="0" collapsed="false">
      <c r="A9" s="79" t="s">
        <v>397</v>
      </c>
      <c r="B9" s="83" t="n">
        <f aca="false">Hypothèses!B6</f>
        <v>0.0494</v>
      </c>
    </row>
    <row r="10" customFormat="false" ht="14.25" hidden="false" customHeight="true" outlineLevel="0" collapsed="false">
      <c r="A10" s="79" t="s">
        <v>398</v>
      </c>
      <c r="B10" s="84" t="n">
        <f aca="false">B4+B8*B9</f>
        <v>0.07952</v>
      </c>
      <c r="C10" s="42" t="s">
        <v>399</v>
      </c>
    </row>
    <row r="11" customFormat="false" ht="14.25" hidden="false" customHeight="true" outlineLevel="0" collapsed="false">
      <c r="A11" s="79" t="s">
        <v>400</v>
      </c>
      <c r="B11" s="85" t="n">
        <f aca="false">Hypothèses!B24+Hypothèses!B5</f>
        <v>0.05</v>
      </c>
      <c r="C11" s="42" t="s">
        <v>401</v>
      </c>
      <c r="F11" s="86"/>
    </row>
    <row r="12" customFormat="false" ht="14.25" hidden="false" customHeight="true" outlineLevel="0" collapsed="false">
      <c r="A12" s="79" t="s">
        <v>402</v>
      </c>
      <c r="B12" s="87" t="n">
        <f aca="false">1/(1+B6)</f>
        <v>1</v>
      </c>
    </row>
    <row r="13" customFormat="false" ht="14.25" hidden="false" customHeight="true" outlineLevel="0" collapsed="false">
      <c r="A13" s="88" t="s">
        <v>49</v>
      </c>
      <c r="B13" s="89" t="n">
        <f aca="false">B12*B10+(1-B12)*B11*(1-B7)</f>
        <v>0.07952</v>
      </c>
    </row>
    <row r="15" customFormat="false" ht="14.25" hidden="false" customHeight="true" outlineLevel="0" collapsed="false">
      <c r="A15" s="75" t="s">
        <v>403</v>
      </c>
      <c r="B15" s="76" t="s">
        <v>67</v>
      </c>
    </row>
    <row r="16" customFormat="false" ht="14.25" hidden="false" customHeight="true" outlineLevel="0" collapsed="false">
      <c r="A16" s="77" t="s">
        <v>404</v>
      </c>
      <c r="B16" s="90" t="n">
        <f aca="false">Données!$B$25</f>
        <v>21335</v>
      </c>
      <c r="C16" s="42" t="s">
        <v>405</v>
      </c>
    </row>
    <row r="17" customFormat="false" ht="14.25" hidden="false" customHeight="true" outlineLevel="0" collapsed="false">
      <c r="A17" s="79" t="s">
        <v>406</v>
      </c>
      <c r="B17" s="91" t="n">
        <v>0.065</v>
      </c>
      <c r="C17" s="42" t="s">
        <v>407</v>
      </c>
      <c r="D17" s="50"/>
      <c r="E17" s="50"/>
      <c r="H17" s="92"/>
      <c r="I17" s="92"/>
    </row>
    <row r="18" customFormat="false" ht="14.25" hidden="false" customHeight="true" outlineLevel="0" collapsed="false">
      <c r="A18" s="79" t="s">
        <v>408</v>
      </c>
      <c r="B18" s="93" t="n">
        <f aca="false">(Données!$B$13+Données!$B$14+Données!$B$15)/B16</f>
        <v>0.0365596437778299</v>
      </c>
      <c r="C18" s="42" t="s">
        <v>409</v>
      </c>
    </row>
    <row r="19" customFormat="false" ht="14.25" hidden="false" customHeight="true" outlineLevel="0" collapsed="false">
      <c r="A19" s="79" t="s">
        <v>410</v>
      </c>
      <c r="B19" s="91" t="n">
        <v>0.038</v>
      </c>
      <c r="C19" s="42" t="s">
        <v>411</v>
      </c>
      <c r="D19" s="50"/>
      <c r="E19" s="50"/>
    </row>
    <row r="20" customFormat="false" ht="14.25" hidden="false" customHeight="true" outlineLevel="0" collapsed="false">
      <c r="A20" s="79" t="s">
        <v>412</v>
      </c>
      <c r="B20" s="91" t="n">
        <v>0.13</v>
      </c>
      <c r="C20" s="42" t="s">
        <v>413</v>
      </c>
      <c r="D20" s="50"/>
    </row>
    <row r="21" customFormat="false" ht="14.25" hidden="false" customHeight="true" outlineLevel="0" collapsed="false">
      <c r="A21" s="94" t="s">
        <v>414</v>
      </c>
      <c r="B21" s="95" t="n">
        <f aca="false">Données!$B$6+Données!$B$7+Données!$B$8+Données!$B$13+Données!$B$14+Données!$B$15</f>
        <v>1753</v>
      </c>
      <c r="C21" s="42" t="s">
        <v>415</v>
      </c>
      <c r="I21" s="96"/>
    </row>
    <row r="23" customFormat="false" ht="14.25" hidden="false" customHeight="true" outlineLevel="0" collapsed="false">
      <c r="A23" s="75" t="s">
        <v>330</v>
      </c>
      <c r="B23" s="97" t="n">
        <v>2025</v>
      </c>
      <c r="C23" s="97" t="n">
        <v>2026</v>
      </c>
      <c r="D23" s="97" t="n">
        <v>2027</v>
      </c>
      <c r="E23" s="97" t="n">
        <v>2028</v>
      </c>
      <c r="F23" s="97" t="n">
        <v>2029</v>
      </c>
      <c r="G23" s="76" t="n">
        <v>2030</v>
      </c>
    </row>
    <row r="24" customFormat="false" ht="14.25" hidden="false" customHeight="true" outlineLevel="0" collapsed="false">
      <c r="A24" s="79" t="s">
        <v>416</v>
      </c>
      <c r="B24" s="34" t="n">
        <f aca="false">B16</f>
        <v>21335</v>
      </c>
      <c r="C24" s="34" t="n">
        <f aca="false">B24*(1+C25)</f>
        <v>22393.216</v>
      </c>
      <c r="D24" s="34" t="n">
        <f aca="false">C24*(1+D25)</f>
        <v>23503.9195136</v>
      </c>
      <c r="E24" s="34" t="n">
        <f aca="false">D24*(1+E25)</f>
        <v>24669.7139214746</v>
      </c>
      <c r="F24" s="34" t="n">
        <f aca="false">E24*(1+F25)</f>
        <v>25893.3317319797</v>
      </c>
      <c r="G24" s="98" t="n">
        <f aca="false">F24*(1+G25)</f>
        <v>27177.6409858859</v>
      </c>
    </row>
    <row r="25" customFormat="false" ht="14.25" hidden="false" customHeight="true" outlineLevel="0" collapsed="false">
      <c r="A25" s="79" t="s">
        <v>417</v>
      </c>
      <c r="C25" s="44" t="n">
        <v>0.0496</v>
      </c>
      <c r="D25" s="44" t="n">
        <v>0.0496</v>
      </c>
      <c r="E25" s="44" t="n">
        <v>0.0496</v>
      </c>
      <c r="F25" s="44" t="n">
        <v>0.0496</v>
      </c>
      <c r="G25" s="99" t="n">
        <v>0.0496</v>
      </c>
    </row>
    <row r="26" customFormat="false" ht="14.25" hidden="false" customHeight="true" outlineLevel="0" collapsed="false">
      <c r="A26" s="100" t="s">
        <v>418</v>
      </c>
      <c r="B26" s="54" t="n">
        <f aca="false">B21</f>
        <v>1753</v>
      </c>
      <c r="C26" s="54" t="n">
        <f aca="false">C24*$B$17</f>
        <v>1455.55904</v>
      </c>
      <c r="D26" s="54" t="n">
        <f aca="false">D24*$B$17</f>
        <v>1527.754768384</v>
      </c>
      <c r="E26" s="54" t="n">
        <f aca="false">E24*$B$17</f>
        <v>1603.53140489585</v>
      </c>
      <c r="F26" s="54" t="n">
        <f aca="false">F24*$B$17</f>
        <v>1683.06656257868</v>
      </c>
      <c r="G26" s="101" t="n">
        <f aca="false">G24*$B$17</f>
        <v>1766.54666408258</v>
      </c>
    </row>
    <row r="27" customFormat="false" ht="14.25" hidden="false" customHeight="true" outlineLevel="0" collapsed="false">
      <c r="A27" s="79" t="s">
        <v>419</v>
      </c>
      <c r="C27" s="34" t="n">
        <f aca="false">C24*$B$18</f>
        <v>818.688</v>
      </c>
      <c r="D27" s="34" t="n">
        <f aca="false">D24*$B$18</f>
        <v>859.2949248</v>
      </c>
      <c r="E27" s="34" t="n">
        <f aca="false">E24*$B$18</f>
        <v>901.91595307008</v>
      </c>
      <c r="F27" s="34" t="n">
        <f aca="false">F24*$B$18</f>
        <v>946.650984342356</v>
      </c>
      <c r="G27" s="98" t="n">
        <f aca="false">G24*$B$18</f>
        <v>993.604873165737</v>
      </c>
    </row>
    <row r="28" customFormat="false" ht="14.25" hidden="false" customHeight="true" outlineLevel="0" collapsed="false">
      <c r="A28" s="100" t="s">
        <v>420</v>
      </c>
      <c r="C28" s="54" t="n">
        <f aca="false">C26-C27</f>
        <v>636.87104</v>
      </c>
      <c r="D28" s="54" t="n">
        <f aca="false">D26-D27</f>
        <v>668.459843584</v>
      </c>
      <c r="E28" s="54" t="n">
        <f aca="false">E26-E27</f>
        <v>701.615451825767</v>
      </c>
      <c r="F28" s="54" t="n">
        <f aca="false">F26-F27</f>
        <v>736.415578236325</v>
      </c>
      <c r="G28" s="101" t="n">
        <f aca="false">G26-G27</f>
        <v>772.941790916846</v>
      </c>
    </row>
    <row r="29" customFormat="false" ht="14.25" hidden="false" customHeight="true" outlineLevel="0" collapsed="false">
      <c r="A29" s="79" t="s">
        <v>421</v>
      </c>
      <c r="C29" s="34" t="n">
        <f aca="false">MAX(C28,0)*$B$7</f>
        <v>170.68143872</v>
      </c>
      <c r="D29" s="34" t="n">
        <f aca="false">MAX(D28,0)*$B$7</f>
        <v>179.147238080512</v>
      </c>
      <c r="E29" s="34" t="n">
        <f aca="false">MAX(E28,0)*$B$7</f>
        <v>188.032941089305</v>
      </c>
      <c r="F29" s="34" t="n">
        <f aca="false">MAX(F28,0)*$B$7</f>
        <v>197.359374967335</v>
      </c>
      <c r="G29" s="98" t="n">
        <f aca="false">MAX(G28,0)*$B$7</f>
        <v>207.148399965715</v>
      </c>
    </row>
    <row r="30" customFormat="false" ht="14.25" hidden="false" customHeight="true" outlineLevel="0" collapsed="false">
      <c r="A30" s="100" t="s">
        <v>422</v>
      </c>
      <c r="C30" s="54" t="n">
        <f aca="false">C28-C29</f>
        <v>466.18960128</v>
      </c>
      <c r="D30" s="54" t="n">
        <f aca="false">D28-D29</f>
        <v>489.312605503488</v>
      </c>
      <c r="E30" s="54" t="n">
        <f aca="false">E28-E29</f>
        <v>513.582510736461</v>
      </c>
      <c r="F30" s="54" t="n">
        <f aca="false">F28-F29</f>
        <v>539.05620326899</v>
      </c>
      <c r="G30" s="101" t="n">
        <f aca="false">G28-G29</f>
        <v>565.793390951132</v>
      </c>
    </row>
    <row r="31" customFormat="false" ht="14.25" hidden="false" customHeight="true" outlineLevel="0" collapsed="false">
      <c r="A31" s="79" t="s">
        <v>423</v>
      </c>
      <c r="C31" s="34" t="n">
        <f aca="false">C27</f>
        <v>818.688</v>
      </c>
      <c r="D31" s="34" t="n">
        <f aca="false">D27</f>
        <v>859.2949248</v>
      </c>
      <c r="E31" s="34" t="n">
        <f aca="false">E27</f>
        <v>901.91595307008</v>
      </c>
      <c r="F31" s="34" t="n">
        <f aca="false">F27</f>
        <v>946.650984342356</v>
      </c>
      <c r="G31" s="98" t="n">
        <f aca="false">G27</f>
        <v>993.604873165737</v>
      </c>
    </row>
    <row r="32" customFormat="false" ht="14.25" hidden="false" customHeight="true" outlineLevel="0" collapsed="false">
      <c r="A32" s="79" t="s">
        <v>424</v>
      </c>
      <c r="C32" s="34" t="n">
        <f aca="false">C24*$B$19</f>
        <v>850.942208</v>
      </c>
      <c r="D32" s="34" t="n">
        <f aca="false">D24*$B$19</f>
        <v>893.1489415168</v>
      </c>
      <c r="E32" s="34" t="n">
        <f aca="false">E24*$B$19</f>
        <v>937.449129016033</v>
      </c>
      <c r="F32" s="34" t="n">
        <f aca="false">F24*$B$19</f>
        <v>983.946605815229</v>
      </c>
      <c r="G32" s="98" t="n">
        <f aca="false">G24*$B$19</f>
        <v>1032.75035746366</v>
      </c>
    </row>
    <row r="33" customFormat="false" ht="14.25" hidden="false" customHeight="true" outlineLevel="0" collapsed="false">
      <c r="A33" s="79" t="s">
        <v>425</v>
      </c>
      <c r="C33" s="34" t="n">
        <f aca="false">(C24-B24)*$B$20</f>
        <v>137.56808</v>
      </c>
      <c r="D33" s="34" t="n">
        <f aca="false">(D24-C24)*$B$20</f>
        <v>144.391456768</v>
      </c>
      <c r="E33" s="34" t="n">
        <f aca="false">(E24-D24)*$B$20</f>
        <v>151.553273023693</v>
      </c>
      <c r="F33" s="34" t="n">
        <f aca="false">(F24-E24)*$B$20</f>
        <v>159.070315365668</v>
      </c>
      <c r="G33" s="98" t="n">
        <f aca="false">(G24-F24)*$B$20</f>
        <v>166.960203007805</v>
      </c>
    </row>
    <row r="34" customFormat="false" ht="14.25" hidden="false" customHeight="true" outlineLevel="0" collapsed="false">
      <c r="A34" s="100" t="s">
        <v>43</v>
      </c>
      <c r="C34" s="54" t="n">
        <f aca="false">C30+C31-C32+C33</f>
        <v>571.50347328</v>
      </c>
      <c r="D34" s="54" t="n">
        <f aca="false">D30+D31-D32+D33</f>
        <v>599.850045554688</v>
      </c>
      <c r="E34" s="54" t="n">
        <f aca="false">E30+E31-E32+E33</f>
        <v>629.602607814201</v>
      </c>
      <c r="F34" s="54" t="n">
        <f aca="false">F30+F31-F32+F33</f>
        <v>660.830897161785</v>
      </c>
      <c r="G34" s="101" t="n">
        <f aca="false">G30+G31-G32+G33</f>
        <v>693.60810966101</v>
      </c>
    </row>
    <row r="35" customFormat="false" ht="14.25" hidden="false" customHeight="true" outlineLevel="0" collapsed="false">
      <c r="A35" s="79" t="s">
        <v>426</v>
      </c>
      <c r="C35" s="63" t="n">
        <v>1</v>
      </c>
      <c r="D35" s="63" t="n">
        <v>2</v>
      </c>
      <c r="E35" s="63" t="n">
        <v>3</v>
      </c>
      <c r="F35" s="63" t="n">
        <v>4</v>
      </c>
      <c r="G35" s="102" t="n">
        <v>5</v>
      </c>
    </row>
    <row r="36" customFormat="false" ht="14.25" hidden="false" customHeight="true" outlineLevel="0" collapsed="false">
      <c r="A36" s="79" t="s">
        <v>427</v>
      </c>
      <c r="C36" s="103" t="n">
        <f aca="false">1/(1+$B$13)^C35</f>
        <v>0.926337631539944</v>
      </c>
      <c r="D36" s="103" t="n">
        <f aca="false">1/(1+$B$13)^D35</f>
        <v>0.858101407607033</v>
      </c>
      <c r="E36" s="103" t="n">
        <f aca="false">1/(1+$B$13)^E35</f>
        <v>0.79489162554379</v>
      </c>
      <c r="F36" s="103" t="n">
        <f aca="false">1/(1+$B$13)^F35</f>
        <v>0.73633802573717</v>
      </c>
      <c r="G36" s="104" t="n">
        <f aca="false">1/(1+$B$13)^G35</f>
        <v>0.682097622774168</v>
      </c>
    </row>
    <row r="37" customFormat="false" ht="14.25" hidden="false" customHeight="true" outlineLevel="0" collapsed="false">
      <c r="A37" s="88" t="s">
        <v>428</v>
      </c>
      <c r="B37" s="105"/>
      <c r="C37" s="106" t="n">
        <f aca="false">C34*C36</f>
        <v>529.405173855047</v>
      </c>
      <c r="D37" s="106" t="n">
        <f aca="false">D34*D36</f>
        <v>514.732168443621</v>
      </c>
      <c r="E37" s="106" t="n">
        <f aca="false">E34*E36</f>
        <v>500.465840372039</v>
      </c>
      <c r="F37" s="106" t="n">
        <f aca="false">F34*F36</f>
        <v>486.594918162232</v>
      </c>
      <c r="G37" s="107" t="n">
        <f aca="false">G34*G36</f>
        <v>473.108442736659</v>
      </c>
    </row>
    <row r="40" customFormat="false" ht="14.25" hidden="false" customHeight="true" outlineLevel="0" collapsed="false">
      <c r="A40" s="75" t="s">
        <v>429</v>
      </c>
      <c r="B40" s="76" t="s">
        <v>67</v>
      </c>
    </row>
    <row r="41" customFormat="false" ht="14.25" hidden="false" customHeight="true" outlineLevel="0" collapsed="false">
      <c r="A41" s="77" t="s">
        <v>430</v>
      </c>
      <c r="B41" s="108" t="n">
        <f aca="false">SUM(C37:G37)</f>
        <v>2504.3065435696</v>
      </c>
    </row>
    <row r="42" customFormat="false" ht="14.25" hidden="false" customHeight="true" outlineLevel="0" collapsed="false">
      <c r="A42" s="79" t="s">
        <v>431</v>
      </c>
      <c r="B42" s="99" t="n">
        <v>0.009</v>
      </c>
      <c r="C42" s="42" t="s">
        <v>432</v>
      </c>
    </row>
    <row r="43" customFormat="false" ht="14.25" hidden="false" customHeight="true" outlineLevel="0" collapsed="false">
      <c r="A43" s="79" t="s">
        <v>433</v>
      </c>
      <c r="B43" s="98" t="n">
        <f aca="false">G30</f>
        <v>565.793390951132</v>
      </c>
    </row>
    <row r="44" customFormat="false" ht="14.25" hidden="false" customHeight="true" outlineLevel="0" collapsed="false">
      <c r="A44" s="79" t="s">
        <v>434</v>
      </c>
      <c r="B44" s="98" t="n">
        <f aca="false">B43*(1+B42)/(B13-B42)</f>
        <v>8095.37055402285</v>
      </c>
    </row>
    <row r="45" customFormat="false" ht="14.25" hidden="false" customHeight="true" outlineLevel="0" collapsed="false">
      <c r="A45" s="79" t="s">
        <v>435</v>
      </c>
      <c r="B45" s="98" t="n">
        <f aca="false">B44*G36</f>
        <v>5521.83301037499</v>
      </c>
    </row>
    <row r="46" customFormat="false" ht="14.25" hidden="false" customHeight="true" outlineLevel="0" collapsed="false">
      <c r="A46" s="100" t="s">
        <v>436</v>
      </c>
      <c r="B46" s="101" t="n">
        <f aca="false">B41+B45</f>
        <v>8026.13955394459</v>
      </c>
    </row>
    <row r="47" customFormat="false" ht="14.25" hidden="false" customHeight="true" outlineLevel="0" collapsed="false">
      <c r="A47" s="79" t="s">
        <v>437</v>
      </c>
      <c r="B47" s="87" t="n">
        <f aca="false">B45/B46</f>
        <v>0.687981186130907</v>
      </c>
    </row>
    <row r="48" customFormat="false" ht="14.25" hidden="false" customHeight="true" outlineLevel="0" collapsed="false">
      <c r="A48" s="94" t="s">
        <v>337</v>
      </c>
      <c r="B48" s="109" t="n">
        <f aca="false">B46/B26</f>
        <v>4.57851657384175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EECE1"/>
    <pageSetUpPr fitToPage="false"/>
  </sheetPr>
  <dimension ref="A1:L44"/>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1" width="46"/>
    <col collapsed="false" customWidth="true" hidden="false" outlineLevel="0" max="2" min="2" style="1" width="12"/>
    <col collapsed="false" customWidth="true" hidden="false" outlineLevel="0" max="13" min="3" style="1" width="10.54"/>
  </cols>
  <sheetData>
    <row r="1" customFormat="false" ht="16.5" hidden="false" customHeight="true" outlineLevel="0" collapsed="false">
      <c r="A1" s="41" t="s">
        <v>438</v>
      </c>
    </row>
    <row r="3" customFormat="false" ht="14.25" hidden="false" customHeight="true" outlineLevel="0" collapsed="false">
      <c r="A3" s="110" t="s">
        <v>389</v>
      </c>
      <c r="B3" s="111" t="s">
        <v>67</v>
      </c>
    </row>
    <row r="4" customFormat="false" ht="14.25" hidden="false" customHeight="true" outlineLevel="0" collapsed="false">
      <c r="A4" s="77" t="s">
        <v>70</v>
      </c>
      <c r="B4" s="78" t="n">
        <f aca="false">Hypothèses!B5</f>
        <v>0.04</v>
      </c>
    </row>
    <row r="5" customFormat="false" ht="14.25" hidden="false" customHeight="true" outlineLevel="0" collapsed="false">
      <c r="A5" s="79" t="s">
        <v>390</v>
      </c>
      <c r="B5" s="80" t="n">
        <v>0.48</v>
      </c>
      <c r="C5" s="42" t="s">
        <v>439</v>
      </c>
    </row>
    <row r="6" customFormat="false" ht="14.25" hidden="false" customHeight="true" outlineLevel="0" collapsed="false">
      <c r="A6" s="79" t="s">
        <v>392</v>
      </c>
      <c r="B6" s="80" t="n">
        <v>1.21050176193309</v>
      </c>
      <c r="C6" s="42" t="s">
        <v>440</v>
      </c>
    </row>
    <row r="7" customFormat="false" ht="14.25" hidden="false" customHeight="true" outlineLevel="0" collapsed="false">
      <c r="A7" s="79" t="s">
        <v>394</v>
      </c>
      <c r="B7" s="81" t="n">
        <f aca="false">Hypothèses!B8</f>
        <v>0.291</v>
      </c>
    </row>
    <row r="8" customFormat="false" ht="14.25" hidden="false" customHeight="true" outlineLevel="0" collapsed="false">
      <c r="A8" s="79" t="s">
        <v>395</v>
      </c>
      <c r="B8" s="82" t="n">
        <f aca="false">B5*(1+(1-B7)*B6)</f>
        <v>0.891957959621069</v>
      </c>
    </row>
    <row r="9" customFormat="false" ht="14.25" hidden="false" customHeight="true" outlineLevel="0" collapsed="false">
      <c r="A9" s="79" t="s">
        <v>441</v>
      </c>
      <c r="B9" s="83" t="n">
        <f aca="false">Hypothèses!B6</f>
        <v>0.0494</v>
      </c>
    </row>
    <row r="10" customFormat="false" ht="14.25" hidden="false" customHeight="true" outlineLevel="0" collapsed="false">
      <c r="A10" s="79" t="s">
        <v>442</v>
      </c>
      <c r="B10" s="84" t="n">
        <f aca="false">B4+B8*B9</f>
        <v>0.0840627232052808</v>
      </c>
    </row>
    <row r="11" customFormat="false" ht="14.25" hidden="false" customHeight="true" outlineLevel="0" collapsed="false">
      <c r="A11" s="79" t="s">
        <v>400</v>
      </c>
      <c r="B11" s="85" t="n">
        <f aca="false">Hypothèses!B5+Hypothèses!B25</f>
        <v>0.046</v>
      </c>
      <c r="C11" s="42" t="s">
        <v>443</v>
      </c>
    </row>
    <row r="12" customFormat="false" ht="14.25" hidden="false" customHeight="true" outlineLevel="0" collapsed="false">
      <c r="A12" s="79" t="s">
        <v>402</v>
      </c>
      <c r="B12" s="87" t="n">
        <f aca="false">1/(1+B6)</f>
        <v>0.452385977347287</v>
      </c>
    </row>
    <row r="13" customFormat="false" ht="14.25" hidden="false" customHeight="true" outlineLevel="0" collapsed="false">
      <c r="A13" s="88" t="s">
        <v>49</v>
      </c>
      <c r="B13" s="112" t="n">
        <f aca="false">B12*B10+(1-B12)*B11*(1-B7)</f>
        <v>0.055888680930491</v>
      </c>
      <c r="D13" s="113"/>
      <c r="H13" s="114"/>
    </row>
    <row r="14" customFormat="false" ht="14.25" hidden="false" customHeight="true" outlineLevel="0" collapsed="false">
      <c r="A14" s="73" t="s">
        <v>444</v>
      </c>
      <c r="B14" s="74" t="n">
        <f aca="false">Hypothèses!B15/(B43-Hypothèses!B15)</f>
        <v>1.21050176193729</v>
      </c>
      <c r="C14" s="1" t="s">
        <v>445</v>
      </c>
      <c r="D14" s="115" t="n">
        <f aca="false">B14-B6</f>
        <v>4.20330437123084E-012</v>
      </c>
    </row>
    <row r="15" customFormat="false" ht="14.25" hidden="false" customHeight="true" outlineLevel="0" collapsed="false">
      <c r="A15" s="73"/>
      <c r="B15" s="74"/>
      <c r="D15" s="115"/>
    </row>
    <row r="16" customFormat="false" ht="14.25" hidden="false" customHeight="true" outlineLevel="0" collapsed="false">
      <c r="A16" s="110" t="s">
        <v>403</v>
      </c>
      <c r="B16" s="111" t="s">
        <v>67</v>
      </c>
    </row>
    <row r="17" customFormat="false" ht="14.25" hidden="false" customHeight="true" outlineLevel="0" collapsed="false">
      <c r="A17" s="77" t="s">
        <v>404</v>
      </c>
      <c r="B17" s="116" t="n">
        <f aca="false">Données!$B$28+Données!$B$29</f>
        <v>3239.7</v>
      </c>
      <c r="C17" s="42" t="s">
        <v>446</v>
      </c>
    </row>
    <row r="18" customFormat="false" ht="14.25" hidden="false" customHeight="true" outlineLevel="0" collapsed="false">
      <c r="A18" s="79" t="s">
        <v>406</v>
      </c>
      <c r="B18" s="117" t="n">
        <f aca="false">Données!$B$71</f>
        <v>0.703565595241764</v>
      </c>
      <c r="C18" s="42" t="s">
        <v>447</v>
      </c>
    </row>
    <row r="19" customFormat="false" ht="14.25" hidden="false" customHeight="true" outlineLevel="0" collapsed="false">
      <c r="A19" s="79" t="s">
        <v>408</v>
      </c>
      <c r="B19" s="117" t="n">
        <f aca="false">Données!$B$72</f>
        <v>0.189065918826466</v>
      </c>
      <c r="C19" s="42" t="s">
        <v>448</v>
      </c>
    </row>
    <row r="20" customFormat="false" ht="14.25" hidden="false" customHeight="true" outlineLevel="0" collapsed="false">
      <c r="A20" s="79" t="s">
        <v>410</v>
      </c>
      <c r="B20" s="117" t="n">
        <f aca="false">Données!$B$73</f>
        <v>0.0823137847083115</v>
      </c>
      <c r="C20" s="42" t="s">
        <v>449</v>
      </c>
      <c r="H20" s="118"/>
    </row>
    <row r="21" customFormat="false" ht="14.25" hidden="false" customHeight="true" outlineLevel="0" collapsed="false">
      <c r="A21" s="79" t="s">
        <v>412</v>
      </c>
      <c r="B21" s="91" t="n">
        <v>0</v>
      </c>
      <c r="C21" s="42" t="s">
        <v>450</v>
      </c>
      <c r="D21" s="118"/>
    </row>
    <row r="22" customFormat="false" ht="14.25" hidden="false" customHeight="true" outlineLevel="0" collapsed="false">
      <c r="A22" s="94" t="s">
        <v>414</v>
      </c>
      <c r="B22" s="95" t="n">
        <f aca="false">Données!$B$58</f>
        <v>2283</v>
      </c>
      <c r="C22" s="42" t="s">
        <v>451</v>
      </c>
    </row>
    <row r="24" customFormat="false" ht="14.25" hidden="false" customHeight="true" outlineLevel="0" collapsed="false">
      <c r="A24" s="110" t="s">
        <v>330</v>
      </c>
      <c r="B24" s="119" t="n">
        <v>2025</v>
      </c>
      <c r="C24" s="119" t="n">
        <v>2026</v>
      </c>
      <c r="D24" s="119" t="n">
        <v>2027</v>
      </c>
      <c r="E24" s="119" t="n">
        <v>2028</v>
      </c>
      <c r="F24" s="119" t="n">
        <v>2029</v>
      </c>
      <c r="G24" s="119" t="n">
        <v>2030</v>
      </c>
      <c r="H24" s="119" t="n">
        <v>2031</v>
      </c>
      <c r="I24" s="119" t="n">
        <v>2032</v>
      </c>
      <c r="J24" s="119" t="n">
        <v>2033</v>
      </c>
      <c r="K24" s="119" t="n">
        <v>2034</v>
      </c>
      <c r="L24" s="111" t="n">
        <v>2035</v>
      </c>
    </row>
    <row r="25" customFormat="false" ht="14.25" hidden="false" customHeight="true" outlineLevel="0" collapsed="false">
      <c r="A25" s="77" t="s">
        <v>416</v>
      </c>
      <c r="B25" s="120" t="n">
        <f aca="false">B17</f>
        <v>3239.7</v>
      </c>
      <c r="C25" s="120" t="n">
        <f aca="false">B25*(1+C26)</f>
        <v>3320.6925</v>
      </c>
      <c r="D25" s="120" t="n">
        <f aca="false">C25*(1+D26)</f>
        <v>3403.7098125</v>
      </c>
      <c r="E25" s="120" t="n">
        <f aca="false">D25*(1+E26)</f>
        <v>3488.8025578125</v>
      </c>
      <c r="F25" s="120" t="n">
        <f aca="false">E25*(1+F26)</f>
        <v>3576.02262175781</v>
      </c>
      <c r="G25" s="120" t="n">
        <f aca="false">F25*(1+G26)</f>
        <v>3665.42318730176</v>
      </c>
      <c r="H25" s="120" t="n">
        <f aca="false">G25*(1+H26)</f>
        <v>3757.0587669843</v>
      </c>
      <c r="I25" s="120" t="n">
        <f aca="false">H25*(1+I26)</f>
        <v>3850.98523615891</v>
      </c>
      <c r="J25" s="120" t="n">
        <f aca="false">I25*(1+J26)</f>
        <v>3947.25986706288</v>
      </c>
      <c r="K25" s="120" t="n">
        <f aca="false">J25*(1+K26)</f>
        <v>4045.94136373945</v>
      </c>
      <c r="L25" s="108" t="n">
        <f aca="false">K25*(1+L26)</f>
        <v>4147.08989783294</v>
      </c>
    </row>
    <row r="26" customFormat="false" ht="14.25" hidden="false" customHeight="true" outlineLevel="0" collapsed="false">
      <c r="A26" s="79" t="s">
        <v>452</v>
      </c>
      <c r="C26" s="44" t="n">
        <v>0.025</v>
      </c>
      <c r="D26" s="44" t="n">
        <v>0.025</v>
      </c>
      <c r="E26" s="44" t="n">
        <v>0.025</v>
      </c>
      <c r="F26" s="44" t="n">
        <v>0.025</v>
      </c>
      <c r="G26" s="44" t="n">
        <v>0.025</v>
      </c>
      <c r="H26" s="44" t="n">
        <v>0.025</v>
      </c>
      <c r="I26" s="44" t="n">
        <v>0.025</v>
      </c>
      <c r="J26" s="44" t="n">
        <v>0.025</v>
      </c>
      <c r="K26" s="44" t="n">
        <v>0.025</v>
      </c>
      <c r="L26" s="99" t="n">
        <v>0.025</v>
      </c>
    </row>
    <row r="27" customFormat="false" ht="14.25" hidden="false" customHeight="true" outlineLevel="0" collapsed="false">
      <c r="A27" s="100" t="s">
        <v>418</v>
      </c>
      <c r="B27" s="54" t="n">
        <f aca="false">B22</f>
        <v>2283</v>
      </c>
      <c r="C27" s="54" t="n">
        <f aca="false">C25*$B$18</f>
        <v>2336.32499537736</v>
      </c>
      <c r="D27" s="54" t="n">
        <f aca="false">D25*$B$18</f>
        <v>2394.73312026179</v>
      </c>
      <c r="E27" s="54" t="n">
        <f aca="false">E25*$B$18</f>
        <v>2454.60144826834</v>
      </c>
      <c r="F27" s="54" t="n">
        <f aca="false">F25*$B$18</f>
        <v>2515.96648447505</v>
      </c>
      <c r="G27" s="54" t="n">
        <f aca="false">G25*$B$18</f>
        <v>2578.86564658692</v>
      </c>
      <c r="H27" s="54" t="n">
        <f aca="false">H25*$B$18</f>
        <v>2643.3372877516</v>
      </c>
      <c r="I27" s="54" t="n">
        <f aca="false">I25*$B$18</f>
        <v>2709.42071994539</v>
      </c>
      <c r="J27" s="54" t="n">
        <f aca="false">J25*$B$18</f>
        <v>2777.15623794402</v>
      </c>
      <c r="K27" s="54" t="n">
        <f aca="false">K25*$B$18</f>
        <v>2846.58514389262</v>
      </c>
      <c r="L27" s="101" t="n">
        <f aca="false">L25*$B$18</f>
        <v>2917.74977248994</v>
      </c>
    </row>
    <row r="28" customFormat="false" ht="14.25" hidden="false" customHeight="true" outlineLevel="0" collapsed="false">
      <c r="A28" s="79" t="s">
        <v>419</v>
      </c>
      <c r="C28" s="34" t="n">
        <f aca="false">C25*$B$19</f>
        <v>627.829778652655</v>
      </c>
      <c r="D28" s="34" t="n">
        <f aca="false">D25*$B$19</f>
        <v>643.525523118971</v>
      </c>
      <c r="E28" s="34" t="n">
        <f aca="false">E25*$B$19</f>
        <v>659.613661196945</v>
      </c>
      <c r="F28" s="34" t="n">
        <f aca="false">F25*$B$19</f>
        <v>676.104002726869</v>
      </c>
      <c r="G28" s="34" t="n">
        <f aca="false">G25*$B$19</f>
        <v>693.006602795041</v>
      </c>
      <c r="H28" s="34" t="n">
        <f aca="false">H25*$B$19</f>
        <v>710.331767864917</v>
      </c>
      <c r="I28" s="34" t="n">
        <f aca="false">I25*$B$19</f>
        <v>728.09006206154</v>
      </c>
      <c r="J28" s="34" t="n">
        <f aca="false">J25*$B$19</f>
        <v>746.292313613078</v>
      </c>
      <c r="K28" s="34" t="n">
        <f aca="false">K25*$B$19</f>
        <v>764.949621453405</v>
      </c>
      <c r="L28" s="98" t="n">
        <f aca="false">L25*$B$19</f>
        <v>784.07336198974</v>
      </c>
    </row>
    <row r="29" customFormat="false" ht="14.25" hidden="false" customHeight="true" outlineLevel="0" collapsed="false">
      <c r="A29" s="100" t="s">
        <v>420</v>
      </c>
      <c r="C29" s="54" t="n">
        <f aca="false">C27-C28</f>
        <v>1708.49521672471</v>
      </c>
      <c r="D29" s="54" t="n">
        <f aca="false">D27-D28</f>
        <v>1751.20759714282</v>
      </c>
      <c r="E29" s="54" t="n">
        <f aca="false">E27-E28</f>
        <v>1794.98778707139</v>
      </c>
      <c r="F29" s="54" t="n">
        <f aca="false">F27-F28</f>
        <v>1839.86248174818</v>
      </c>
      <c r="G29" s="54" t="n">
        <f aca="false">G27-G28</f>
        <v>1885.85904379188</v>
      </c>
      <c r="H29" s="54" t="n">
        <f aca="false">H27-H28</f>
        <v>1933.00551988668</v>
      </c>
      <c r="I29" s="54" t="n">
        <f aca="false">I27-I28</f>
        <v>1981.33065788385</v>
      </c>
      <c r="J29" s="54" t="n">
        <f aca="false">J27-J28</f>
        <v>2030.86392433094</v>
      </c>
      <c r="K29" s="54" t="n">
        <f aca="false">K27-K28</f>
        <v>2081.63552243922</v>
      </c>
      <c r="L29" s="101" t="n">
        <f aca="false">L27-L28</f>
        <v>2133.6764105002</v>
      </c>
    </row>
    <row r="30" customFormat="false" ht="14.25" hidden="false" customHeight="true" outlineLevel="0" collapsed="false">
      <c r="A30" s="79" t="s">
        <v>421</v>
      </c>
      <c r="C30" s="34" t="n">
        <f aca="false">MAX(C29,0)*$B$7</f>
        <v>497.172108066889</v>
      </c>
      <c r="D30" s="34" t="n">
        <f aca="false">MAX(D29,0)*$B$7</f>
        <v>509.601410768562</v>
      </c>
      <c r="E30" s="34" t="n">
        <f aca="false">MAX(E29,0)*$B$7</f>
        <v>522.341446037776</v>
      </c>
      <c r="F30" s="34" t="n">
        <f aca="false">MAX(F29,0)*$B$7</f>
        <v>535.39998218872</v>
      </c>
      <c r="G30" s="34" t="n">
        <f aca="false">MAX(G29,0)*$B$7</f>
        <v>548.784981743438</v>
      </c>
      <c r="H30" s="34" t="n">
        <f aca="false">MAX(H29,0)*$B$7</f>
        <v>562.504606287024</v>
      </c>
      <c r="I30" s="34" t="n">
        <f aca="false">MAX(I29,0)*$B$7</f>
        <v>576.567221444199</v>
      </c>
      <c r="J30" s="34" t="n">
        <f aca="false">MAX(J29,0)*$B$7</f>
        <v>590.981401980304</v>
      </c>
      <c r="K30" s="34" t="n">
        <f aca="false">MAX(K29,0)*$B$7</f>
        <v>605.755937029812</v>
      </c>
      <c r="L30" s="98" t="n">
        <f aca="false">MAX(L29,0)*$B$7</f>
        <v>620.899835455557</v>
      </c>
    </row>
    <row r="31" customFormat="false" ht="14.25" hidden="false" customHeight="true" outlineLevel="0" collapsed="false">
      <c r="A31" s="100" t="s">
        <v>422</v>
      </c>
      <c r="C31" s="54" t="n">
        <f aca="false">C29-C30</f>
        <v>1211.32310865782</v>
      </c>
      <c r="D31" s="54" t="n">
        <f aca="false">D29-D30</f>
        <v>1241.60618637426</v>
      </c>
      <c r="E31" s="54" t="n">
        <f aca="false">E29-E30</f>
        <v>1272.64634103362</v>
      </c>
      <c r="F31" s="54" t="n">
        <f aca="false">F29-F30</f>
        <v>1304.46249955946</v>
      </c>
      <c r="G31" s="54" t="n">
        <f aca="false">G29-G30</f>
        <v>1337.07406204845</v>
      </c>
      <c r="H31" s="54" t="n">
        <f aca="false">H29-H30</f>
        <v>1370.50091359966</v>
      </c>
      <c r="I31" s="54" t="n">
        <f aca="false">I29-I30</f>
        <v>1404.76343643965</v>
      </c>
      <c r="J31" s="54" t="n">
        <f aca="false">J29-J30</f>
        <v>1439.88252235064</v>
      </c>
      <c r="K31" s="54" t="n">
        <f aca="false">K29-K30</f>
        <v>1475.8795854094</v>
      </c>
      <c r="L31" s="101" t="n">
        <f aca="false">L29-L30</f>
        <v>1512.77657504464</v>
      </c>
    </row>
    <row r="32" customFormat="false" ht="14.25" hidden="false" customHeight="true" outlineLevel="0" collapsed="false">
      <c r="A32" s="79" t="s">
        <v>423</v>
      </c>
      <c r="C32" s="34" t="n">
        <f aca="false">C28</f>
        <v>627.829778652655</v>
      </c>
      <c r="D32" s="34" t="n">
        <f aca="false">D28</f>
        <v>643.525523118971</v>
      </c>
      <c r="E32" s="34" t="n">
        <f aca="false">E28</f>
        <v>659.613661196945</v>
      </c>
      <c r="F32" s="34" t="n">
        <f aca="false">F28</f>
        <v>676.104002726869</v>
      </c>
      <c r="G32" s="34" t="n">
        <f aca="false">G28</f>
        <v>693.006602795041</v>
      </c>
      <c r="H32" s="34" t="n">
        <f aca="false">H28</f>
        <v>710.331767864917</v>
      </c>
      <c r="I32" s="34" t="n">
        <f aca="false">I28</f>
        <v>728.09006206154</v>
      </c>
      <c r="J32" s="34" t="n">
        <f aca="false">J28</f>
        <v>746.292313613078</v>
      </c>
      <c r="K32" s="34" t="n">
        <f aca="false">K28</f>
        <v>764.949621453405</v>
      </c>
      <c r="L32" s="98" t="n">
        <f aca="false">L28</f>
        <v>784.07336198974</v>
      </c>
    </row>
    <row r="33" customFormat="false" ht="14.25" hidden="false" customHeight="true" outlineLevel="0" collapsed="false">
      <c r="A33" s="79" t="s">
        <v>424</v>
      </c>
      <c r="C33" s="34" t="n">
        <f aca="false">C25*$B$20</f>
        <v>273.338767527505</v>
      </c>
      <c r="D33" s="34" t="n">
        <f aca="false">D25*$B$20</f>
        <v>280.172236715692</v>
      </c>
      <c r="E33" s="34" t="n">
        <f aca="false">E25*$B$20</f>
        <v>287.176542633585</v>
      </c>
      <c r="F33" s="34" t="n">
        <f aca="false">F25*$B$20</f>
        <v>294.355956199424</v>
      </c>
      <c r="G33" s="34" t="n">
        <f aca="false">G25*$B$20</f>
        <v>301.71485510441</v>
      </c>
      <c r="H33" s="34" t="n">
        <f aca="false">H25*$B$20</f>
        <v>309.25772648202</v>
      </c>
      <c r="I33" s="34" t="n">
        <f aca="false">I25*$B$20</f>
        <v>316.98916964407</v>
      </c>
      <c r="J33" s="34" t="n">
        <f aca="false">J25*$B$20</f>
        <v>324.913898885172</v>
      </c>
      <c r="K33" s="34" t="n">
        <f aca="false">K25*$B$20</f>
        <v>333.036746357301</v>
      </c>
      <c r="L33" s="98" t="n">
        <f aca="false">L25*$B$20</f>
        <v>341.362665016234</v>
      </c>
    </row>
    <row r="34" customFormat="false" ht="14.25" hidden="false" customHeight="true" outlineLevel="0" collapsed="false">
      <c r="A34" s="79" t="s">
        <v>425</v>
      </c>
      <c r="C34" s="34" t="n">
        <f aca="false">(C25-B25)*$B$21</f>
        <v>0</v>
      </c>
      <c r="D34" s="34" t="n">
        <f aca="false">(D25-C25)*$B$21</f>
        <v>0</v>
      </c>
      <c r="E34" s="34" t="n">
        <f aca="false">(E25-D25)*$B$21</f>
        <v>0</v>
      </c>
      <c r="F34" s="34" t="n">
        <f aca="false">(F25-E25)*$B$21</f>
        <v>0</v>
      </c>
      <c r="G34" s="34" t="n">
        <f aca="false">(G25-F25)*$B$21</f>
        <v>0</v>
      </c>
      <c r="H34" s="34" t="n">
        <f aca="false">(H25-G25)*$B$21</f>
        <v>0</v>
      </c>
      <c r="I34" s="34" t="n">
        <f aca="false">(I25-H25)*$B$21</f>
        <v>0</v>
      </c>
      <c r="J34" s="34" t="n">
        <f aca="false">(J25-I25)*$B$21</f>
        <v>0</v>
      </c>
      <c r="K34" s="34" t="n">
        <f aca="false">(K25-J25)*$B$21</f>
        <v>0</v>
      </c>
      <c r="L34" s="98" t="n">
        <f aca="false">(L25-K25)*$B$21</f>
        <v>0</v>
      </c>
    </row>
    <row r="35" customFormat="false" ht="14.25" hidden="false" customHeight="true" outlineLevel="0" collapsed="false">
      <c r="A35" s="100" t="s">
        <v>43</v>
      </c>
      <c r="C35" s="54" t="n">
        <f aca="false">C31+C32-C33+C34</f>
        <v>1565.81411978297</v>
      </c>
      <c r="D35" s="54" t="n">
        <f aca="false">D31+D32-D33+D34</f>
        <v>1604.95947277754</v>
      </c>
      <c r="E35" s="54" t="n">
        <f aca="false">E31+E32-E33+E34</f>
        <v>1645.08345959698</v>
      </c>
      <c r="F35" s="54" t="n">
        <f aca="false">F31+F32-F33+F34</f>
        <v>1686.2105460869</v>
      </c>
      <c r="G35" s="54" t="n">
        <f aca="false">G31+G32-G33+G34</f>
        <v>1728.36580973908</v>
      </c>
      <c r="H35" s="54" t="n">
        <f aca="false">H31+H32-H33+H34</f>
        <v>1771.57495498255</v>
      </c>
      <c r="I35" s="54" t="n">
        <f aca="false">I31+I32-I33+I34</f>
        <v>1815.86432885712</v>
      </c>
      <c r="J35" s="54" t="n">
        <f aca="false">J31+J32-J33+J34</f>
        <v>1861.26093707854</v>
      </c>
      <c r="K35" s="54" t="n">
        <f aca="false">K31+K32-K33+K34</f>
        <v>1907.79246050551</v>
      </c>
      <c r="L35" s="101" t="n">
        <f aca="false">L31+L32-L33+L34</f>
        <v>1955.48727201815</v>
      </c>
    </row>
    <row r="36" customFormat="false" ht="14.25" hidden="false" customHeight="true" outlineLevel="0" collapsed="false">
      <c r="A36" s="79" t="s">
        <v>426</v>
      </c>
      <c r="C36" s="63" t="n">
        <v>1</v>
      </c>
      <c r="D36" s="63" t="n">
        <v>2</v>
      </c>
      <c r="E36" s="63" t="n">
        <v>3</v>
      </c>
      <c r="F36" s="63" t="n">
        <v>4</v>
      </c>
      <c r="G36" s="63" t="n">
        <v>5</v>
      </c>
      <c r="H36" s="63" t="n">
        <v>6</v>
      </c>
      <c r="I36" s="63" t="n">
        <v>7</v>
      </c>
      <c r="J36" s="63" t="n">
        <v>8</v>
      </c>
      <c r="K36" s="63" t="n">
        <v>9</v>
      </c>
      <c r="L36" s="102" t="n">
        <v>10</v>
      </c>
    </row>
    <row r="37" customFormat="false" ht="14.25" hidden="false" customHeight="true" outlineLevel="0" collapsed="false">
      <c r="A37" s="79" t="s">
        <v>427</v>
      </c>
      <c r="C37" s="103" t="n">
        <f aca="false">1/(1+$B$13)^C36</f>
        <v>0.947069533048465</v>
      </c>
      <c r="D37" s="103" t="n">
        <f aca="false">1/(1+$B$13)^D36</f>
        <v>0.896940700428638</v>
      </c>
      <c r="E37" s="103" t="n">
        <f aca="false">1/(1+$B$13)^E36</f>
        <v>0.849465210327113</v>
      </c>
      <c r="F37" s="103" t="n">
        <f aca="false">1/(1+$B$13)^F36</f>
        <v>0.804502620085416</v>
      </c>
      <c r="G37" s="103" t="n">
        <f aca="false">1/(1+$B$13)^G36</f>
        <v>0.761919920740561</v>
      </c>
      <c r="H37" s="103" t="n">
        <f aca="false">1/(1+$B$13)^H36</f>
        <v>0.721591143556087</v>
      </c>
      <c r="I37" s="103" t="n">
        <f aca="false">1/(1+$B$13)^I36</f>
        <v>0.683396987379571</v>
      </c>
      <c r="J37" s="103" t="n">
        <f aca="false">1/(1+$B$13)^J36</f>
        <v>0.647224465724299</v>
      </c>
      <c r="K37" s="103" t="n">
        <f aca="false">1/(1+$B$13)^K36</f>
        <v>0.612966572531054</v>
      </c>
      <c r="L37" s="104" t="n">
        <f aca="false">1/(1+$B$13)^L36</f>
        <v>0.580521965621303</v>
      </c>
    </row>
    <row r="38" customFormat="false" ht="14.25" hidden="false" customHeight="true" outlineLevel="0" collapsed="false">
      <c r="A38" s="88" t="s">
        <v>428</v>
      </c>
      <c r="B38" s="105"/>
      <c r="C38" s="106" t="n">
        <f aca="false">C35*C37</f>
        <v>1482.93484726355</v>
      </c>
      <c r="D38" s="106" t="n">
        <f aca="false">D35*D37</f>
        <v>1439.55347367266</v>
      </c>
      <c r="E38" s="106" t="n">
        <f aca="false">E35*E37</f>
        <v>1397.4411670122</v>
      </c>
      <c r="F38" s="106" t="n">
        <f aca="false">F35*F37</f>
        <v>1356.56080234257</v>
      </c>
      <c r="G38" s="106" t="n">
        <f aca="false">G35*G37</f>
        <v>1316.87634076709</v>
      </c>
      <c r="H38" s="106" t="n">
        <f aca="false">H35*H37</f>
        <v>1278.35279766118</v>
      </c>
      <c r="I38" s="106" t="n">
        <f aca="false">I35*I37</f>
        <v>1240.95621183098</v>
      </c>
      <c r="J38" s="106" t="n">
        <f aca="false">J35*J37</f>
        <v>1204.65361557417</v>
      </c>
      <c r="K38" s="106" t="n">
        <f aca="false">K35*K37</f>
        <v>1169.41300561665</v>
      </c>
      <c r="L38" s="107" t="n">
        <f aca="false">L35*L37</f>
        <v>1135.20331489941</v>
      </c>
    </row>
    <row r="41" customFormat="false" ht="14.25" hidden="false" customHeight="true" outlineLevel="0" collapsed="false">
      <c r="A41" s="110" t="s">
        <v>429</v>
      </c>
      <c r="B41" s="111" t="s">
        <v>67</v>
      </c>
    </row>
    <row r="42" customFormat="false" ht="14.25" hidden="false" customHeight="true" outlineLevel="0" collapsed="false">
      <c r="A42" s="77" t="s">
        <v>453</v>
      </c>
      <c r="B42" s="108" t="n">
        <f aca="false">SUM(C38:L38)</f>
        <v>13021.9455766405</v>
      </c>
    </row>
    <row r="43" customFormat="false" ht="14.25" hidden="false" customHeight="true" outlineLevel="0" collapsed="false">
      <c r="A43" s="100" t="s">
        <v>436</v>
      </c>
      <c r="B43" s="101" t="n">
        <f aca="false">B42</f>
        <v>13021.9455766405</v>
      </c>
      <c r="C43" s="42" t="s">
        <v>454</v>
      </c>
    </row>
    <row r="44" customFormat="false" ht="14.25" hidden="false" customHeight="true" outlineLevel="0" collapsed="false">
      <c r="A44" s="94" t="s">
        <v>337</v>
      </c>
      <c r="B44" s="109" t="n">
        <f aca="false">B43/B27</f>
        <v>5.70387454079741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EECE1"/>
    <pageSetUpPr fitToPage="false"/>
  </sheetPr>
  <dimension ref="A1:Q4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2" activeCellId="0" sqref="A2"/>
    </sheetView>
  </sheetViews>
  <sheetFormatPr defaultColWidth="8.6328125" defaultRowHeight="14.25" zeroHeight="false" outlineLevelRow="0" outlineLevelCol="0"/>
  <cols>
    <col collapsed="false" customWidth="true" hidden="false" outlineLevel="0" max="1" min="1" style="1" width="46"/>
    <col collapsed="false" customWidth="true" hidden="false" outlineLevel="0" max="2" min="2" style="1" width="12"/>
    <col collapsed="false" customWidth="true" hidden="false" outlineLevel="0" max="18" min="3" style="1" width="10.54"/>
  </cols>
  <sheetData>
    <row r="1" customFormat="false" ht="16.5" hidden="false" customHeight="true" outlineLevel="0" collapsed="false">
      <c r="A1" s="41" t="s">
        <v>455</v>
      </c>
    </row>
    <row r="3" customFormat="false" ht="14.25" hidden="false" customHeight="true" outlineLevel="0" collapsed="false">
      <c r="A3" s="110" t="s">
        <v>389</v>
      </c>
      <c r="B3" s="111" t="s">
        <v>67</v>
      </c>
    </row>
    <row r="4" customFormat="false" ht="14.25" hidden="false" customHeight="true" outlineLevel="0" collapsed="false">
      <c r="A4" s="77" t="s">
        <v>70</v>
      </c>
      <c r="B4" s="78" t="n">
        <f aca="false">Hypothèses!B5</f>
        <v>0.04</v>
      </c>
    </row>
    <row r="5" customFormat="false" ht="14.25" hidden="false" customHeight="true" outlineLevel="0" collapsed="false">
      <c r="A5" s="79" t="s">
        <v>390</v>
      </c>
      <c r="B5" s="80" t="n">
        <v>0.54</v>
      </c>
      <c r="C5" s="42" t="s">
        <v>456</v>
      </c>
    </row>
    <row r="6" customFormat="false" ht="14.25" hidden="false" customHeight="true" outlineLevel="0" collapsed="false">
      <c r="A6" s="79" t="s">
        <v>392</v>
      </c>
      <c r="B6" s="121" t="n">
        <f aca="false">'Eiffarie (APRR-AREA-Aliaé)'!B6</f>
        <v>1.21050176193309</v>
      </c>
      <c r="C6" s="42" t="s">
        <v>457</v>
      </c>
    </row>
    <row r="7" customFormat="false" ht="14.25" hidden="false" customHeight="true" outlineLevel="0" collapsed="false">
      <c r="A7" s="79" t="s">
        <v>394</v>
      </c>
      <c r="B7" s="81" t="n">
        <f aca="false">Hypothèses!B7</f>
        <v>0.268</v>
      </c>
    </row>
    <row r="8" customFormat="false" ht="14.25" hidden="false" customHeight="true" outlineLevel="0" collapsed="false">
      <c r="A8" s="79" t="s">
        <v>395</v>
      </c>
      <c r="B8" s="82" t="n">
        <f aca="false">B5*(1+(1-B7)*B6)</f>
        <v>1.01848713645691</v>
      </c>
    </row>
    <row r="9" customFormat="false" ht="14.25" hidden="false" customHeight="true" outlineLevel="0" collapsed="false">
      <c r="A9" s="79" t="s">
        <v>441</v>
      </c>
      <c r="B9" s="83" t="n">
        <f aca="false">Hypothèses!B6</f>
        <v>0.0494</v>
      </c>
    </row>
    <row r="10" customFormat="false" ht="14.25" hidden="false" customHeight="true" outlineLevel="0" collapsed="false">
      <c r="A10" s="79" t="s">
        <v>442</v>
      </c>
      <c r="B10" s="84" t="n">
        <f aca="false">B4+B8*B9</f>
        <v>0.0903132645409714</v>
      </c>
    </row>
    <row r="11" customFormat="false" ht="14.25" hidden="false" customHeight="true" outlineLevel="0" collapsed="false">
      <c r="A11" s="79" t="s">
        <v>400</v>
      </c>
      <c r="B11" s="85" t="n">
        <f aca="false">Hypothèses!B5+Hypothèses!B26</f>
        <v>0.048</v>
      </c>
      <c r="C11" s="42" t="s">
        <v>458</v>
      </c>
    </row>
    <row r="12" customFormat="false" ht="14.25" hidden="false" customHeight="true" outlineLevel="0" collapsed="false">
      <c r="A12" s="79" t="s">
        <v>402</v>
      </c>
      <c r="B12" s="87" t="n">
        <f aca="false">1/(1+B6)</f>
        <v>0.452385977347287</v>
      </c>
    </row>
    <row r="13" customFormat="false" ht="14.25" hidden="false" customHeight="true" outlineLevel="0" collapsed="false">
      <c r="A13" s="88" t="s">
        <v>49</v>
      </c>
      <c r="B13" s="112" t="n">
        <f aca="false">B12*B10+(1-B12)*B11*(1-B7)</f>
        <v>0.0600974207467171</v>
      </c>
    </row>
    <row r="14" customFormat="false" ht="14.25" hidden="false" customHeight="true" outlineLevel="0" collapsed="false">
      <c r="A14" s="26"/>
      <c r="B14" s="122"/>
    </row>
    <row r="15" customFormat="false" ht="14.25" hidden="false" customHeight="true" outlineLevel="0" collapsed="false">
      <c r="A15" s="110" t="s">
        <v>403</v>
      </c>
      <c r="B15" s="111" t="s">
        <v>67</v>
      </c>
    </row>
    <row r="16" customFormat="false" ht="14.25" hidden="false" customHeight="true" outlineLevel="0" collapsed="false">
      <c r="A16" s="77" t="s">
        <v>404</v>
      </c>
      <c r="B16" s="116" t="n">
        <f aca="false">Données!$B$26-'Eiffarie (APRR-AREA-Aliaé)'!B17</f>
        <v>738.3</v>
      </c>
      <c r="C16" s="42" t="s">
        <v>459</v>
      </c>
    </row>
    <row r="17" customFormat="false" ht="14.25" hidden="false" customHeight="true" outlineLevel="0" collapsed="false">
      <c r="A17" s="79" t="s">
        <v>406</v>
      </c>
      <c r="B17" s="87" t="n">
        <f aca="false">B21/B16</f>
        <v>0.514695923066504</v>
      </c>
      <c r="C17" s="42" t="s">
        <v>460</v>
      </c>
    </row>
    <row r="18" customFormat="false" ht="14.25" hidden="false" customHeight="true" outlineLevel="0" collapsed="false">
      <c r="A18" s="79" t="s">
        <v>408</v>
      </c>
      <c r="B18" s="117" t="n">
        <f aca="false">'Eiffarie (APRR-AREA-Aliaé)'!B19</f>
        <v>0.189065918826466</v>
      </c>
      <c r="C18" s="42" t="s">
        <v>461</v>
      </c>
    </row>
    <row r="19" customFormat="false" ht="14.25" hidden="false" customHeight="true" outlineLevel="0" collapsed="false">
      <c r="A19" s="79" t="s">
        <v>410</v>
      </c>
      <c r="B19" s="117" t="n">
        <f aca="false">'Eiffarie (APRR-AREA-Aliaé)'!B20</f>
        <v>0.0823137847083115</v>
      </c>
      <c r="C19" s="42" t="s">
        <v>462</v>
      </c>
    </row>
    <row r="20" customFormat="false" ht="14.25" hidden="false" customHeight="true" outlineLevel="0" collapsed="false">
      <c r="A20" s="79" t="s">
        <v>412</v>
      </c>
      <c r="B20" s="91" t="n">
        <v>0</v>
      </c>
      <c r="C20" s="42" t="s">
        <v>463</v>
      </c>
    </row>
    <row r="21" customFormat="false" ht="14.25" hidden="false" customHeight="true" outlineLevel="0" collapsed="false">
      <c r="A21" s="94" t="s">
        <v>414</v>
      </c>
      <c r="B21" s="123" t="n">
        <f aca="false">Données!$B$70-'Eiffarie (APRR-AREA-Aliaé)'!B22</f>
        <v>380</v>
      </c>
      <c r="C21" s="42" t="s">
        <v>464</v>
      </c>
    </row>
    <row r="23" customFormat="false" ht="14.25" hidden="false" customHeight="true" outlineLevel="0" collapsed="false">
      <c r="A23" s="110" t="s">
        <v>330</v>
      </c>
      <c r="B23" s="119" t="n">
        <v>2025</v>
      </c>
      <c r="C23" s="119" t="n">
        <v>2026</v>
      </c>
      <c r="D23" s="119" t="n">
        <v>2027</v>
      </c>
      <c r="E23" s="119" t="n">
        <v>2028</v>
      </c>
      <c r="F23" s="119" t="n">
        <v>2029</v>
      </c>
      <c r="G23" s="119" t="n">
        <v>2030</v>
      </c>
      <c r="H23" s="119" t="n">
        <v>2031</v>
      </c>
      <c r="I23" s="119" t="n">
        <v>2032</v>
      </c>
      <c r="J23" s="119" t="n">
        <v>2033</v>
      </c>
      <c r="K23" s="119" t="n">
        <v>2034</v>
      </c>
      <c r="L23" s="119" t="n">
        <v>2035</v>
      </c>
      <c r="M23" s="119" t="n">
        <v>2036</v>
      </c>
      <c r="N23" s="119" t="n">
        <v>2037</v>
      </c>
      <c r="O23" s="119" t="n">
        <v>2038</v>
      </c>
      <c r="P23" s="119" t="n">
        <v>2039</v>
      </c>
      <c r="Q23" s="111" t="n">
        <v>2040</v>
      </c>
    </row>
    <row r="24" customFormat="false" ht="14.25" hidden="false" customHeight="true" outlineLevel="0" collapsed="false">
      <c r="A24" s="79" t="s">
        <v>416</v>
      </c>
      <c r="B24" s="34" t="n">
        <f aca="false">B16</f>
        <v>738.3</v>
      </c>
      <c r="C24" s="34" t="n">
        <f aca="false">B24*(1+C25)</f>
        <v>756.7575</v>
      </c>
      <c r="D24" s="34" t="n">
        <f aca="false">C24*(1+D25)</f>
        <v>775.6764375</v>
      </c>
      <c r="E24" s="34" t="n">
        <f aca="false">D24*(1+E25)</f>
        <v>795.0683484375</v>
      </c>
      <c r="F24" s="34" t="n">
        <f aca="false">E24*(1+F25)</f>
        <v>814.945057148438</v>
      </c>
      <c r="G24" s="34" t="n">
        <f aca="false">F24*(1+G25)</f>
        <v>835.318683577148</v>
      </c>
      <c r="H24" s="34" t="n">
        <f aca="false">G24*(1+H25)</f>
        <v>856.201650666577</v>
      </c>
      <c r="I24" s="34" t="n">
        <f aca="false">H24*(1+I25)</f>
        <v>877.606691933241</v>
      </c>
      <c r="J24" s="34" t="n">
        <f aca="false">I24*(1+J25)</f>
        <v>899.546859231572</v>
      </c>
      <c r="K24" s="34" t="n">
        <f aca="false">J24*(1+K25)</f>
        <v>922.035530712362</v>
      </c>
      <c r="L24" s="34" t="n">
        <f aca="false">K24*(1+L25)</f>
        <v>945.086418980171</v>
      </c>
      <c r="M24" s="34" t="n">
        <f aca="false">L24*(1+M25)</f>
        <v>968.713579454675</v>
      </c>
      <c r="N24" s="34" t="n">
        <f aca="false">M24*(1+N25)</f>
        <v>992.931418941042</v>
      </c>
      <c r="O24" s="34" t="n">
        <f aca="false">N24*(1+O25)</f>
        <v>1017.75470441457</v>
      </c>
      <c r="P24" s="34" t="n">
        <f aca="false">O24*(1+P25)</f>
        <v>1043.19857202493</v>
      </c>
      <c r="Q24" s="98" t="n">
        <f aca="false">P24*(1+Q25)</f>
        <v>1069.27853632555</v>
      </c>
    </row>
    <row r="25" customFormat="false" ht="14.25" hidden="false" customHeight="true" outlineLevel="0" collapsed="false">
      <c r="A25" s="79" t="s">
        <v>452</v>
      </c>
      <c r="C25" s="44" t="n">
        <v>0.025</v>
      </c>
      <c r="D25" s="44" t="n">
        <v>0.025</v>
      </c>
      <c r="E25" s="44" t="n">
        <v>0.025</v>
      </c>
      <c r="F25" s="44" t="n">
        <v>0.025</v>
      </c>
      <c r="G25" s="44" t="n">
        <v>0.025</v>
      </c>
      <c r="H25" s="44" t="n">
        <v>0.025</v>
      </c>
      <c r="I25" s="44" t="n">
        <v>0.025</v>
      </c>
      <c r="J25" s="44" t="n">
        <v>0.025</v>
      </c>
      <c r="K25" s="44" t="n">
        <v>0.025</v>
      </c>
      <c r="L25" s="44" t="n">
        <v>0.025</v>
      </c>
      <c r="M25" s="44" t="n">
        <v>0.025</v>
      </c>
      <c r="N25" s="44" t="n">
        <v>0.025</v>
      </c>
      <c r="O25" s="44" t="n">
        <v>0.025</v>
      </c>
      <c r="P25" s="44" t="n">
        <v>0.025</v>
      </c>
      <c r="Q25" s="99" t="n">
        <v>0.025</v>
      </c>
    </row>
    <row r="26" customFormat="false" ht="14.25" hidden="false" customHeight="true" outlineLevel="0" collapsed="false">
      <c r="A26" s="100" t="s">
        <v>418</v>
      </c>
      <c r="B26" s="54" t="n">
        <f aca="false">B21</f>
        <v>380</v>
      </c>
      <c r="C26" s="54" t="n">
        <f aca="false">C24*$B$17</f>
        <v>389.5</v>
      </c>
      <c r="D26" s="54" t="n">
        <f aca="false">D24*$B$17</f>
        <v>399.2375</v>
      </c>
      <c r="E26" s="54" t="n">
        <f aca="false">E24*$B$17</f>
        <v>409.2184375</v>
      </c>
      <c r="F26" s="54" t="n">
        <f aca="false">F24*$B$17</f>
        <v>419.4488984375</v>
      </c>
      <c r="G26" s="54" t="n">
        <f aca="false">G24*$B$17</f>
        <v>429.935120898437</v>
      </c>
      <c r="H26" s="54" t="n">
        <f aca="false">H24*$B$17</f>
        <v>440.683498920898</v>
      </c>
      <c r="I26" s="54" t="n">
        <f aca="false">I24*$B$17</f>
        <v>451.700586393921</v>
      </c>
      <c r="J26" s="54" t="n">
        <f aca="false">J24*$B$17</f>
        <v>462.993101053769</v>
      </c>
      <c r="K26" s="54" t="n">
        <f aca="false">K24*$B$17</f>
        <v>474.567928580113</v>
      </c>
      <c r="L26" s="54" t="n">
        <f aca="false">L24*$B$17</f>
        <v>486.432126794616</v>
      </c>
      <c r="M26" s="54" t="n">
        <f aca="false">M24*$B$17</f>
        <v>498.592929964481</v>
      </c>
      <c r="N26" s="54" t="n">
        <f aca="false">N24*$B$17</f>
        <v>511.057753213593</v>
      </c>
      <c r="O26" s="54" t="n">
        <f aca="false">O24*$B$17</f>
        <v>523.834197043933</v>
      </c>
      <c r="P26" s="54" t="n">
        <f aca="false">P24*$B$17</f>
        <v>536.930051970031</v>
      </c>
      <c r="Q26" s="101" t="n">
        <f aca="false">Q24*$B$17</f>
        <v>550.353303269282</v>
      </c>
    </row>
    <row r="27" customFormat="false" ht="14.25" hidden="false" customHeight="true" outlineLevel="0" collapsed="false">
      <c r="A27" s="79" t="s">
        <v>419</v>
      </c>
      <c r="C27" s="34" t="n">
        <f aca="false">C24*$B$18</f>
        <v>143.077052066319</v>
      </c>
      <c r="D27" s="34" t="n">
        <f aca="false">D24*$B$18</f>
        <v>146.653978367977</v>
      </c>
      <c r="E27" s="34" t="n">
        <f aca="false">E24*$B$18</f>
        <v>150.320327827177</v>
      </c>
      <c r="F27" s="34" t="n">
        <f aca="false">F24*$B$18</f>
        <v>154.078336022856</v>
      </c>
      <c r="G27" s="34" t="n">
        <f aca="false">G24*$B$18</f>
        <v>157.930294423428</v>
      </c>
      <c r="H27" s="34" t="n">
        <f aca="false">H24*$B$18</f>
        <v>161.878551784013</v>
      </c>
      <c r="I27" s="34" t="n">
        <f aca="false">I24*$B$18</f>
        <v>165.925515578614</v>
      </c>
      <c r="J27" s="34" t="n">
        <f aca="false">J24*$B$18</f>
        <v>170.073653468079</v>
      </c>
      <c r="K27" s="34" t="n">
        <f aca="false">K24*$B$18</f>
        <v>174.325494804781</v>
      </c>
      <c r="L27" s="34" t="n">
        <f aca="false">L24*$B$18</f>
        <v>178.683632174901</v>
      </c>
      <c r="M27" s="34" t="n">
        <f aca="false">M24*$B$18</f>
        <v>183.150722979273</v>
      </c>
      <c r="N27" s="34" t="n">
        <f aca="false">N24*$B$18</f>
        <v>187.729491053755</v>
      </c>
      <c r="O27" s="34" t="n">
        <f aca="false">O24*$B$18</f>
        <v>192.422728330099</v>
      </c>
      <c r="P27" s="34" t="n">
        <f aca="false">P24*$B$18</f>
        <v>197.233296538351</v>
      </c>
      <c r="Q27" s="98" t="n">
        <f aca="false">Q24*$B$18</f>
        <v>202.16412895181</v>
      </c>
    </row>
    <row r="28" customFormat="false" ht="14.25" hidden="false" customHeight="true" outlineLevel="0" collapsed="false">
      <c r="A28" s="100" t="s">
        <v>420</v>
      </c>
      <c r="C28" s="54" t="n">
        <f aca="false">C26-C27</f>
        <v>246.422947933681</v>
      </c>
      <c r="D28" s="54" t="n">
        <f aca="false">D26-D27</f>
        <v>252.583521632023</v>
      </c>
      <c r="E28" s="54" t="n">
        <f aca="false">E26-E27</f>
        <v>258.898109672823</v>
      </c>
      <c r="F28" s="54" t="n">
        <f aca="false">F26-F27</f>
        <v>265.370562414644</v>
      </c>
      <c r="G28" s="54" t="n">
        <f aca="false">G26-G27</f>
        <v>272.00482647501</v>
      </c>
      <c r="H28" s="54" t="n">
        <f aca="false">H26-H27</f>
        <v>278.804947136885</v>
      </c>
      <c r="I28" s="54" t="n">
        <f aca="false">I26-I27</f>
        <v>285.775070815307</v>
      </c>
      <c r="J28" s="54" t="n">
        <f aca="false">J26-J27</f>
        <v>292.91944758569</v>
      </c>
      <c r="K28" s="54" t="n">
        <f aca="false">K26-K27</f>
        <v>300.242433775332</v>
      </c>
      <c r="L28" s="54" t="n">
        <f aca="false">L26-L27</f>
        <v>307.748494619715</v>
      </c>
      <c r="M28" s="54" t="n">
        <f aca="false">M26-M27</f>
        <v>315.442206985208</v>
      </c>
      <c r="N28" s="54" t="n">
        <f aca="false">N26-N27</f>
        <v>323.328262159838</v>
      </c>
      <c r="O28" s="54" t="n">
        <f aca="false">O26-O27</f>
        <v>331.411468713834</v>
      </c>
      <c r="P28" s="54" t="n">
        <f aca="false">P26-P27</f>
        <v>339.69675543168</v>
      </c>
      <c r="Q28" s="101" t="n">
        <f aca="false">Q26-Q27</f>
        <v>348.189174317472</v>
      </c>
    </row>
    <row r="29" customFormat="false" ht="14.25" hidden="false" customHeight="true" outlineLevel="0" collapsed="false">
      <c r="A29" s="79" t="s">
        <v>421</v>
      </c>
      <c r="C29" s="34" t="n">
        <f aca="false">MAX(C28,0)*$B$7</f>
        <v>66.0413500462264</v>
      </c>
      <c r="D29" s="34" t="n">
        <f aca="false">MAX(D28,0)*$B$7</f>
        <v>67.6923837973821</v>
      </c>
      <c r="E29" s="34" t="n">
        <f aca="false">MAX(E28,0)*$B$7</f>
        <v>69.3846933923166</v>
      </c>
      <c r="F29" s="34" t="n">
        <f aca="false">MAX(F28,0)*$B$7</f>
        <v>71.1193107271245</v>
      </c>
      <c r="G29" s="34" t="n">
        <f aca="false">MAX(G28,0)*$B$7</f>
        <v>72.8972934953026</v>
      </c>
      <c r="H29" s="34" t="n">
        <f aca="false">MAX(H28,0)*$B$7</f>
        <v>74.7197258326852</v>
      </c>
      <c r="I29" s="34" t="n">
        <f aca="false">MAX(I28,0)*$B$7</f>
        <v>76.5877189785023</v>
      </c>
      <c r="J29" s="34" t="n">
        <f aca="false">MAX(J28,0)*$B$7</f>
        <v>78.5024119529648</v>
      </c>
      <c r="K29" s="34" t="n">
        <f aca="false">MAX(K28,0)*$B$7</f>
        <v>80.464972251789</v>
      </c>
      <c r="L29" s="34" t="n">
        <f aca="false">MAX(L28,0)*$B$7</f>
        <v>82.4765965580837</v>
      </c>
      <c r="M29" s="34" t="n">
        <f aca="false">MAX(M28,0)*$B$7</f>
        <v>84.5385114720358</v>
      </c>
      <c r="N29" s="34" t="n">
        <f aca="false">MAX(N28,0)*$B$7</f>
        <v>86.6519742588367</v>
      </c>
      <c r="O29" s="34" t="n">
        <f aca="false">MAX(O28,0)*$B$7</f>
        <v>88.8182736153076</v>
      </c>
      <c r="P29" s="34" t="n">
        <f aca="false">MAX(P28,0)*$B$7</f>
        <v>91.0387304556902</v>
      </c>
      <c r="Q29" s="98" t="n">
        <f aca="false">MAX(Q28,0)*$B$7</f>
        <v>93.3146987170825</v>
      </c>
    </row>
    <row r="30" customFormat="false" ht="14.25" hidden="false" customHeight="true" outlineLevel="0" collapsed="false">
      <c r="A30" s="100" t="s">
        <v>422</v>
      </c>
      <c r="C30" s="54" t="n">
        <f aca="false">C28-C29</f>
        <v>180.381597887454</v>
      </c>
      <c r="D30" s="54" t="n">
        <f aca="false">D28-D29</f>
        <v>184.891137834641</v>
      </c>
      <c r="E30" s="54" t="n">
        <f aca="false">E28-E29</f>
        <v>189.513416280506</v>
      </c>
      <c r="F30" s="54" t="n">
        <f aca="false">F28-F29</f>
        <v>194.251251687519</v>
      </c>
      <c r="G30" s="54" t="n">
        <f aca="false">G28-G29</f>
        <v>199.107532979707</v>
      </c>
      <c r="H30" s="54" t="n">
        <f aca="false">H28-H29</f>
        <v>204.0852213042</v>
      </c>
      <c r="I30" s="54" t="n">
        <f aca="false">I28-I29</f>
        <v>209.187351836805</v>
      </c>
      <c r="J30" s="54" t="n">
        <f aca="false">J28-J29</f>
        <v>214.417035632725</v>
      </c>
      <c r="K30" s="54" t="n">
        <f aca="false">K28-K29</f>
        <v>219.777461523543</v>
      </c>
      <c r="L30" s="54" t="n">
        <f aca="false">L28-L29</f>
        <v>225.271898061632</v>
      </c>
      <c r="M30" s="54" t="n">
        <f aca="false">M28-M29</f>
        <v>230.903695513172</v>
      </c>
      <c r="N30" s="54" t="n">
        <f aca="false">N28-N29</f>
        <v>236.676287901002</v>
      </c>
      <c r="O30" s="54" t="n">
        <f aca="false">O28-O29</f>
        <v>242.593195098527</v>
      </c>
      <c r="P30" s="54" t="n">
        <f aca="false">P28-P29</f>
        <v>248.65802497599</v>
      </c>
      <c r="Q30" s="101" t="n">
        <f aca="false">Q28-Q29</f>
        <v>254.874475600389</v>
      </c>
    </row>
    <row r="31" customFormat="false" ht="14.25" hidden="false" customHeight="true" outlineLevel="0" collapsed="false">
      <c r="A31" s="79" t="s">
        <v>423</v>
      </c>
      <c r="C31" s="34" t="n">
        <f aca="false">C27</f>
        <v>143.077052066319</v>
      </c>
      <c r="D31" s="34" t="n">
        <f aca="false">D27</f>
        <v>146.653978367977</v>
      </c>
      <c r="E31" s="34" t="n">
        <f aca="false">E27</f>
        <v>150.320327827177</v>
      </c>
      <c r="F31" s="34" t="n">
        <f aca="false">F27</f>
        <v>154.078336022856</v>
      </c>
      <c r="G31" s="34" t="n">
        <f aca="false">G27</f>
        <v>157.930294423428</v>
      </c>
      <c r="H31" s="34" t="n">
        <f aca="false">H27</f>
        <v>161.878551784013</v>
      </c>
      <c r="I31" s="34" t="n">
        <f aca="false">I27</f>
        <v>165.925515578614</v>
      </c>
      <c r="J31" s="34" t="n">
        <f aca="false">J27</f>
        <v>170.073653468079</v>
      </c>
      <c r="K31" s="34" t="n">
        <f aca="false">K27</f>
        <v>174.325494804781</v>
      </c>
      <c r="L31" s="34" t="n">
        <f aca="false">L27</f>
        <v>178.683632174901</v>
      </c>
      <c r="M31" s="34" t="n">
        <f aca="false">M27</f>
        <v>183.150722979273</v>
      </c>
      <c r="N31" s="34" t="n">
        <f aca="false">N27</f>
        <v>187.729491053755</v>
      </c>
      <c r="O31" s="34" t="n">
        <f aca="false">O27</f>
        <v>192.422728330099</v>
      </c>
      <c r="P31" s="34" t="n">
        <f aca="false">P27</f>
        <v>197.233296538351</v>
      </c>
      <c r="Q31" s="98" t="n">
        <f aca="false">Q27</f>
        <v>202.16412895181</v>
      </c>
    </row>
    <row r="32" customFormat="false" ht="14.25" hidden="false" customHeight="true" outlineLevel="0" collapsed="false">
      <c r="A32" s="79" t="s">
        <v>424</v>
      </c>
      <c r="C32" s="34" t="n">
        <f aca="false">C24*$B$19</f>
        <v>62.2915739314001</v>
      </c>
      <c r="D32" s="34" t="n">
        <f aca="false">D24*$B$19</f>
        <v>63.8488632796851</v>
      </c>
      <c r="E32" s="34" t="n">
        <f aca="false">E24*$B$19</f>
        <v>65.4450848616772</v>
      </c>
      <c r="F32" s="34" t="n">
        <f aca="false">F24*$B$19</f>
        <v>67.0812119832191</v>
      </c>
      <c r="G32" s="34" t="n">
        <f aca="false">G24*$B$19</f>
        <v>68.7582422827996</v>
      </c>
      <c r="H32" s="34" t="n">
        <f aca="false">H24*$B$19</f>
        <v>70.4771983398696</v>
      </c>
      <c r="I32" s="34" t="n">
        <f aca="false">I24*$B$19</f>
        <v>72.2391282983663</v>
      </c>
      <c r="J32" s="34" t="n">
        <f aca="false">J24*$B$19</f>
        <v>74.0451065058254</v>
      </c>
      <c r="K32" s="34" t="n">
        <f aca="false">K24*$B$19</f>
        <v>75.8962341684711</v>
      </c>
      <c r="L32" s="34" t="n">
        <f aca="false">L24*$B$19</f>
        <v>77.7936400226828</v>
      </c>
      <c r="M32" s="34" t="n">
        <f aca="false">M24*$B$19</f>
        <v>79.7384810232499</v>
      </c>
      <c r="N32" s="34" t="n">
        <f aca="false">N24*$B$19</f>
        <v>81.7319430488311</v>
      </c>
      <c r="O32" s="34" t="n">
        <f aca="false">O24*$B$19</f>
        <v>83.7752416250519</v>
      </c>
      <c r="P32" s="34" t="n">
        <f aca="false">P24*$B$19</f>
        <v>85.8696226656782</v>
      </c>
      <c r="Q32" s="98" t="n">
        <f aca="false">Q24*$B$19</f>
        <v>88.0163632323202</v>
      </c>
    </row>
    <row r="33" customFormat="false" ht="14.25" hidden="false" customHeight="true" outlineLevel="0" collapsed="false">
      <c r="A33" s="79" t="s">
        <v>425</v>
      </c>
      <c r="C33" s="34" t="n">
        <f aca="false">(C24-B24)*$B$20</f>
        <v>0</v>
      </c>
      <c r="D33" s="34" t="n">
        <f aca="false">(D24-C24)*$B$20</f>
        <v>0</v>
      </c>
      <c r="E33" s="34" t="n">
        <f aca="false">(E24-D24)*$B$20</f>
        <v>0</v>
      </c>
      <c r="F33" s="34" t="n">
        <f aca="false">(F24-E24)*$B$20</f>
        <v>0</v>
      </c>
      <c r="G33" s="34" t="n">
        <f aca="false">(G24-F24)*$B$20</f>
        <v>0</v>
      </c>
      <c r="H33" s="34" t="n">
        <f aca="false">(H24-G24)*$B$20</f>
        <v>0</v>
      </c>
      <c r="I33" s="34" t="n">
        <f aca="false">(I24-H24)*$B$20</f>
        <v>0</v>
      </c>
      <c r="J33" s="34" t="n">
        <f aca="false">(J24-I24)*$B$20</f>
        <v>0</v>
      </c>
      <c r="K33" s="34" t="n">
        <f aca="false">(K24-J24)*$B$20</f>
        <v>0</v>
      </c>
      <c r="L33" s="34" t="n">
        <f aca="false">(L24-K24)*$B$20</f>
        <v>0</v>
      </c>
      <c r="M33" s="34" t="n">
        <f aca="false">(M24-L24)*$B$20</f>
        <v>0</v>
      </c>
      <c r="N33" s="34" t="n">
        <f aca="false">(N24-M24)*$B$20</f>
        <v>0</v>
      </c>
      <c r="O33" s="34" t="n">
        <f aca="false">(O24-N24)*$B$20</f>
        <v>0</v>
      </c>
      <c r="P33" s="34" t="n">
        <f aca="false">(P24-O24)*$B$20</f>
        <v>0</v>
      </c>
      <c r="Q33" s="98" t="n">
        <f aca="false">(Q24-P24)*$B$20</f>
        <v>0</v>
      </c>
    </row>
    <row r="34" customFormat="false" ht="14.25" hidden="false" customHeight="true" outlineLevel="0" collapsed="false">
      <c r="A34" s="100" t="s">
        <v>43</v>
      </c>
      <c r="C34" s="54" t="n">
        <f aca="false">C30+C31-C32+C33</f>
        <v>261.167076022374</v>
      </c>
      <c r="D34" s="54" t="n">
        <f aca="false">D30+D31-D32+D33</f>
        <v>267.696252922933</v>
      </c>
      <c r="E34" s="54" t="n">
        <f aca="false">E30+E31-E32+E33</f>
        <v>274.388659246006</v>
      </c>
      <c r="F34" s="54" t="n">
        <f aca="false">F30+F31-F32+F33</f>
        <v>281.248375727156</v>
      </c>
      <c r="G34" s="54" t="n">
        <f aca="false">G30+G31-G32+G33</f>
        <v>288.279585120335</v>
      </c>
      <c r="H34" s="54" t="n">
        <f aca="false">H30+H31-H32+H33</f>
        <v>295.486574748344</v>
      </c>
      <c r="I34" s="54" t="n">
        <f aca="false">I30+I31-I32+I33</f>
        <v>302.873739117052</v>
      </c>
      <c r="J34" s="54" t="n">
        <f aca="false">J30+J31-J32+J33</f>
        <v>310.445582594978</v>
      </c>
      <c r="K34" s="54" t="n">
        <f aca="false">K30+K31-K32+K33</f>
        <v>318.206722159853</v>
      </c>
      <c r="L34" s="54" t="n">
        <f aca="false">L30+L31-L32+L33</f>
        <v>326.161890213849</v>
      </c>
      <c r="M34" s="54" t="n">
        <f aca="false">M30+M31-M32+M33</f>
        <v>334.315937469195</v>
      </c>
      <c r="N34" s="54" t="n">
        <f aca="false">N30+N31-N32+N33</f>
        <v>342.673835905925</v>
      </c>
      <c r="O34" s="54" t="n">
        <f aca="false">O30+O31-O32+O33</f>
        <v>351.240681803573</v>
      </c>
      <c r="P34" s="54" t="n">
        <f aca="false">P30+P31-P32+P33</f>
        <v>360.021698848663</v>
      </c>
      <c r="Q34" s="101" t="n">
        <f aca="false">Q30+Q31-Q32+Q33</f>
        <v>369.022241319879</v>
      </c>
    </row>
    <row r="35" customFormat="false" ht="14.25" hidden="false" customHeight="true" outlineLevel="0" collapsed="false">
      <c r="A35" s="79" t="s">
        <v>426</v>
      </c>
      <c r="C35" s="63" t="n">
        <v>1</v>
      </c>
      <c r="D35" s="63" t="n">
        <v>2</v>
      </c>
      <c r="E35" s="63" t="n">
        <v>3</v>
      </c>
      <c r="F35" s="63" t="n">
        <v>4</v>
      </c>
      <c r="G35" s="63" t="n">
        <v>5</v>
      </c>
      <c r="H35" s="63" t="n">
        <v>6</v>
      </c>
      <c r="I35" s="63" t="n">
        <v>7</v>
      </c>
      <c r="J35" s="63" t="n">
        <v>8</v>
      </c>
      <c r="K35" s="63" t="n">
        <v>9</v>
      </c>
      <c r="L35" s="63" t="n">
        <v>10</v>
      </c>
      <c r="M35" s="63" t="n">
        <v>11</v>
      </c>
      <c r="N35" s="63" t="n">
        <v>12</v>
      </c>
      <c r="O35" s="63" t="n">
        <v>13</v>
      </c>
      <c r="P35" s="63" t="n">
        <v>14</v>
      </c>
      <c r="Q35" s="102" t="n">
        <v>15</v>
      </c>
    </row>
    <row r="36" customFormat="false" ht="14.25" hidden="false" customHeight="true" outlineLevel="0" collapsed="false">
      <c r="A36" s="79" t="s">
        <v>427</v>
      </c>
      <c r="C36" s="103" t="n">
        <f aca="false">1/(1+$B$13)^C35</f>
        <v>0.943309530265261</v>
      </c>
      <c r="D36" s="103" t="n">
        <f aca="false">1/(1+$B$13)^D35</f>
        <v>0.889832869889267</v>
      </c>
      <c r="E36" s="103" t="n">
        <f aca="false">1/(1+$B$13)^E35</f>
        <v>0.839387826509833</v>
      </c>
      <c r="F36" s="103" t="n">
        <f aca="false">1/(1+$B$13)^F35</f>
        <v>0.791802536335369</v>
      </c>
      <c r="G36" s="103" t="n">
        <f aca="false">1/(1+$B$13)^G35</f>
        <v>0.746914878613358</v>
      </c>
      <c r="H36" s="103" t="n">
        <f aca="false">1/(1+$B$13)^H35</f>
        <v>0.704571923292901</v>
      </c>
      <c r="I36" s="103" t="n">
        <f aca="false">1/(1+$B$13)^I35</f>
        <v>0.664629409999518</v>
      </c>
      <c r="J36" s="103" t="n">
        <f aca="false">1/(1+$B$13)^J35</f>
        <v>0.626951256547122</v>
      </c>
      <c r="K36" s="103" t="n">
        <f aca="false">1/(1+$B$13)^K35</f>
        <v>0.591409095312681</v>
      </c>
      <c r="L36" s="103" t="n">
        <f aca="false">1/(1+$B$13)^L35</f>
        <v>0.557881835894008</v>
      </c>
      <c r="M36" s="103" t="n">
        <f aca="false">1/(1+$B$13)^M35</f>
        <v>0.526255252560698</v>
      </c>
      <c r="N36" s="103" t="n">
        <f aca="false">1/(1+$B$13)^N35</f>
        <v>0.496421595092658</v>
      </c>
      <c r="O36" s="103" t="n">
        <f aca="false">1/(1+$B$13)^O35</f>
        <v>0.468279221680386</v>
      </c>
      <c r="P36" s="103" t="n">
        <f aca="false">1/(1+$B$13)^P35</f>
        <v>0.441732252636307</v>
      </c>
      <c r="Q36" s="104" t="n">
        <f aca="false">1/(1+$B$13)^Q35</f>
        <v>0.41669024373737</v>
      </c>
    </row>
    <row r="37" customFormat="false" ht="14.25" hidden="false" customHeight="true" outlineLevel="0" collapsed="false">
      <c r="A37" s="88" t="s">
        <v>428</v>
      </c>
      <c r="B37" s="105"/>
      <c r="C37" s="106" t="n">
        <f aca="false">C34*C36</f>
        <v>246.361391803417</v>
      </c>
      <c r="D37" s="106" t="n">
        <f aca="false">D34*D36</f>
        <v>238.204924997016</v>
      </c>
      <c r="E37" s="106" t="n">
        <f aca="false">E34*E36</f>
        <v>230.318500303452</v>
      </c>
      <c r="F37" s="106" t="n">
        <f aca="false">F34*F36</f>
        <v>222.693177240965</v>
      </c>
      <c r="G37" s="106" t="n">
        <f aca="false">G34*G36</f>
        <v>215.320311326864</v>
      </c>
      <c r="H37" s="106" t="n">
        <f aca="false">H34*H36</f>
        <v>208.191544277672</v>
      </c>
      <c r="I37" s="106" t="n">
        <f aca="false">I34*I36</f>
        <v>201.298794533714</v>
      </c>
      <c r="J37" s="106" t="n">
        <f aca="false">J34*J36</f>
        <v>194.634248097425</v>
      </c>
      <c r="K37" s="106" t="n">
        <f aca="false">K34*K36</f>
        <v>188.190349674972</v>
      </c>
      <c r="L37" s="106" t="n">
        <f aca="false">L34*L36</f>
        <v>181.959794111162</v>
      </c>
      <c r="M37" s="106" t="n">
        <f aca="false">M34*M36</f>
        <v>175.935518107918</v>
      </c>
      <c r="N37" s="106" t="n">
        <f aca="false">N34*N36</f>
        <v>170.110692216939</v>
      </c>
      <c r="O37" s="106" t="n">
        <f aca="false">O34*O36</f>
        <v>164.478713097466</v>
      </c>
      <c r="P37" s="106" t="n">
        <f aca="false">P34*P36</f>
        <v>159.03319603037</v>
      </c>
      <c r="Q37" s="107" t="n">
        <f aca="false">Q34*Q36</f>
        <v>153.767967680091</v>
      </c>
    </row>
    <row r="40" customFormat="false" ht="14.25" hidden="false" customHeight="true" outlineLevel="0" collapsed="false">
      <c r="A40" s="110" t="s">
        <v>429</v>
      </c>
      <c r="B40" s="111" t="s">
        <v>67</v>
      </c>
    </row>
    <row r="41" customFormat="false" ht="14.25" hidden="false" customHeight="true" outlineLevel="0" collapsed="false">
      <c r="A41" s="79" t="s">
        <v>465</v>
      </c>
      <c r="B41" s="98" t="n">
        <f aca="false">SUM(C37:Q37)</f>
        <v>2950.49912349944</v>
      </c>
    </row>
    <row r="42" customFormat="false" ht="14.25" hidden="false" customHeight="true" outlineLevel="0" collapsed="false">
      <c r="A42" s="79" t="s">
        <v>466</v>
      </c>
      <c r="B42" s="99" t="n">
        <v>0.009</v>
      </c>
    </row>
    <row r="43" customFormat="false" ht="14.25" hidden="false" customHeight="true" outlineLevel="0" collapsed="false">
      <c r="A43" s="79" t="s">
        <v>467</v>
      </c>
      <c r="B43" s="124" t="n">
        <v>2060</v>
      </c>
      <c r="C43" s="42" t="s">
        <v>468</v>
      </c>
    </row>
    <row r="44" customFormat="false" ht="14.25" hidden="false" customHeight="true" outlineLevel="0" collapsed="false">
      <c r="A44" s="79" t="s">
        <v>469</v>
      </c>
      <c r="B44" s="102" t="n">
        <f aca="false">B43-2040</f>
        <v>20</v>
      </c>
    </row>
    <row r="45" customFormat="false" ht="14.25" hidden="false" customHeight="true" outlineLevel="0" collapsed="false">
      <c r="A45" s="79" t="s">
        <v>470</v>
      </c>
      <c r="B45" s="98" t="n">
        <f aca="false">IF(B44&gt;0,Q34*(1+B42)/(B13-B42)*(1-((1+B42)/(1+B13))^B44)*Q36,0)</f>
        <v>1905.90589311656</v>
      </c>
    </row>
    <row r="46" customFormat="false" ht="14.25" hidden="false" customHeight="true" outlineLevel="0" collapsed="false">
      <c r="A46" s="100" t="s">
        <v>436</v>
      </c>
      <c r="B46" s="101" t="n">
        <f aca="false">B41+B45</f>
        <v>4856.40501661601</v>
      </c>
    </row>
    <row r="47" customFormat="false" ht="14.25" hidden="false" customHeight="true" outlineLevel="0" collapsed="false">
      <c r="A47" s="94" t="s">
        <v>337</v>
      </c>
      <c r="B47" s="109" t="n">
        <f aca="false">B46/B26</f>
        <v>12.7800132016211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EECE1"/>
    <pageSetUpPr fitToPage="false"/>
  </sheetPr>
  <dimension ref="A1:R5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0" topLeftCell="B1" activePane="topRight" state="frozen"/>
      <selection pane="topLeft" activeCell="A1" activeCellId="0" sqref="A1"/>
      <selection pane="topRight" activeCell="G22" activeCellId="0" sqref="G22"/>
    </sheetView>
  </sheetViews>
  <sheetFormatPr defaultColWidth="8.6328125" defaultRowHeight="14.25" zeroHeight="false" outlineLevelRow="0" outlineLevelCol="0"/>
  <cols>
    <col collapsed="false" customWidth="true" hidden="false" outlineLevel="0" max="1" min="1" style="1" width="35.36"/>
    <col collapsed="false" customWidth="true" hidden="false" outlineLevel="0" max="2" min="2" style="1" width="9"/>
    <col collapsed="false" customWidth="true" hidden="false" outlineLevel="0" max="3" min="3" style="1" width="11"/>
    <col collapsed="false" customWidth="true" hidden="false" outlineLevel="0" max="5" min="4" style="1" width="12"/>
    <col collapsed="false" customWidth="true" hidden="false" outlineLevel="0" max="6" min="6" style="1" width="11"/>
    <col collapsed="false" customWidth="true" hidden="false" outlineLevel="0" max="8" min="7" style="1" width="10"/>
    <col collapsed="false" customWidth="true" hidden="false" outlineLevel="0" max="9" min="9" style="1" width="12"/>
    <col collapsed="false" customWidth="true" hidden="false" outlineLevel="0" max="13" min="10" style="1" width="10"/>
    <col collapsed="false" customWidth="true" hidden="false" outlineLevel="0" max="17" min="14" style="1" width="9"/>
    <col collapsed="false" customWidth="true" hidden="false" outlineLevel="0" max="18" min="18" style="1" width="156.54"/>
  </cols>
  <sheetData>
    <row r="1" customFormat="false" ht="16.5" hidden="false" customHeight="true" outlineLevel="0" collapsed="false">
      <c r="A1" s="41" t="s">
        <v>471</v>
      </c>
    </row>
    <row r="2" customFormat="false" ht="14.25" hidden="false" customHeight="true" outlineLevel="0" collapsed="false">
      <c r="A2" s="42" t="s">
        <v>472</v>
      </c>
    </row>
    <row r="3" customFormat="false" ht="14.25" hidden="false" customHeight="true" outlineLevel="0" collapsed="false">
      <c r="A3" s="42" t="s">
        <v>473</v>
      </c>
    </row>
    <row r="4" customFormat="false" ht="14.25" hidden="false" customHeight="true" outlineLevel="0" collapsed="false">
      <c r="N4" s="125" t="s">
        <v>474</v>
      </c>
      <c r="O4" s="125"/>
      <c r="P4" s="125"/>
      <c r="Q4" s="125"/>
    </row>
    <row r="5" customFormat="false" ht="30" hidden="false" customHeight="true" outlineLevel="0" collapsed="false">
      <c r="A5" s="126" t="s">
        <v>475</v>
      </c>
      <c r="B5" s="126" t="s">
        <v>476</v>
      </c>
      <c r="C5" s="126" t="s">
        <v>477</v>
      </c>
      <c r="D5" s="126" t="s">
        <v>478</v>
      </c>
      <c r="E5" s="126" t="s">
        <v>479</v>
      </c>
      <c r="F5" s="126" t="s">
        <v>480</v>
      </c>
      <c r="G5" s="126" t="s">
        <v>481</v>
      </c>
      <c r="H5" s="126" t="s">
        <v>482</v>
      </c>
      <c r="I5" s="126" t="s">
        <v>483</v>
      </c>
      <c r="J5" s="126" t="s">
        <v>404</v>
      </c>
      <c r="K5" s="126" t="s">
        <v>335</v>
      </c>
      <c r="L5" s="126" t="s">
        <v>484</v>
      </c>
      <c r="M5" s="126" t="s">
        <v>485</v>
      </c>
      <c r="N5" s="126" t="s">
        <v>486</v>
      </c>
      <c r="O5" s="126" t="s">
        <v>487</v>
      </c>
      <c r="P5" s="126" t="s">
        <v>488</v>
      </c>
      <c r="Q5" s="126" t="s">
        <v>489</v>
      </c>
      <c r="R5" s="127" t="s">
        <v>490</v>
      </c>
    </row>
    <row r="6" customFormat="false" ht="14.25" hidden="false" customHeight="true" outlineLevel="0" collapsed="false">
      <c r="A6" s="26" t="s">
        <v>491</v>
      </c>
      <c r="B6" s="64" t="n">
        <v>1</v>
      </c>
      <c r="C6" s="45" t="n">
        <v>107.05</v>
      </c>
      <c r="D6" s="128" t="n">
        <f aca="false">E48-F48</f>
        <v>555.089623</v>
      </c>
      <c r="E6" s="34" t="n">
        <f aca="false">C6*D6</f>
        <v>59422.34414215</v>
      </c>
      <c r="F6" s="34" t="n">
        <f aca="false">B48+C48+D48</f>
        <v>21924</v>
      </c>
      <c r="G6" s="129" t="n">
        <v>3576</v>
      </c>
      <c r="H6" s="129" t="n">
        <v>1995</v>
      </c>
      <c r="I6" s="34" t="n">
        <f aca="false">E6+F6+G6-H6</f>
        <v>82927.34414215</v>
      </c>
      <c r="J6" s="129" t="n">
        <v>74599</v>
      </c>
      <c r="K6" s="129" t="n">
        <v>13507</v>
      </c>
      <c r="L6" s="129" t="n">
        <v>9558</v>
      </c>
      <c r="M6" s="129" t="n">
        <v>4903</v>
      </c>
      <c r="N6" s="130" t="n">
        <f aca="false">IF($B6=1,I6/J6,"")</f>
        <v>1.11164149844033</v>
      </c>
      <c r="O6" s="48" t="n">
        <f aca="false">IF($B6=1,I6/K6,"")</f>
        <v>6.13958274540238</v>
      </c>
      <c r="P6" s="48" t="n">
        <f aca="false">IF($B6=1,I6/L6,"")</f>
        <v>8.67622349258736</v>
      </c>
      <c r="Q6" s="48" t="n">
        <f aca="false">IF($B6=1,E6/M6,"")</f>
        <v>12.1195888521619</v>
      </c>
      <c r="R6" s="31" t="s">
        <v>492</v>
      </c>
    </row>
    <row r="7" customFormat="false" ht="14.25" hidden="false" customHeight="true" outlineLevel="0" collapsed="false">
      <c r="A7" s="26" t="s">
        <v>493</v>
      </c>
      <c r="B7" s="64" t="n">
        <v>1</v>
      </c>
      <c r="C7" s="45" t="n">
        <v>40.3</v>
      </c>
      <c r="D7" s="128" t="n">
        <f aca="false">E49-F49</f>
        <v>384.288076</v>
      </c>
      <c r="E7" s="34" t="n">
        <f aca="false">C7*D7</f>
        <v>15486.8094628</v>
      </c>
      <c r="F7" s="34" t="n">
        <f aca="false">B49+C49+D49</f>
        <v>7623</v>
      </c>
      <c r="G7" s="129" t="n">
        <v>1815</v>
      </c>
      <c r="H7" s="129" t="n">
        <v>1614</v>
      </c>
      <c r="I7" s="34" t="n">
        <f aca="false">E7+F7+G7-H7</f>
        <v>23310.8094628</v>
      </c>
      <c r="J7" s="129" t="n">
        <v>56877</v>
      </c>
      <c r="K7" s="34" t="n">
        <f aca="false">G49+H49</f>
        <v>5579</v>
      </c>
      <c r="L7" s="129" t="n">
        <v>2555</v>
      </c>
      <c r="M7" s="129" t="n">
        <v>1138</v>
      </c>
      <c r="N7" s="130" t="n">
        <f aca="false">IF($B7=1,I7/J7,"")</f>
        <v>0.409845973993002</v>
      </c>
      <c r="O7" s="48" t="n">
        <f aca="false">IF($B7=1,I7/K7,"")</f>
        <v>4.17831322150923</v>
      </c>
      <c r="P7" s="48" t="n">
        <f aca="false">IF($B7=1,I7/L7,"")</f>
        <v>9.12360448641879</v>
      </c>
      <c r="Q7" s="48" t="n">
        <f aca="false">IF($B7=1,E7/M7,"")</f>
        <v>13.6087956615114</v>
      </c>
      <c r="R7" s="31" t="s">
        <v>494</v>
      </c>
    </row>
    <row r="8" customFormat="false" ht="14.25" hidden="false" customHeight="true" outlineLevel="0" collapsed="false">
      <c r="A8" s="26" t="s">
        <v>495</v>
      </c>
      <c r="B8" s="64" t="n">
        <v>1</v>
      </c>
      <c r="C8" s="45" t="n">
        <v>389.8</v>
      </c>
      <c r="D8" s="128" t="n">
        <f aca="false">I50/J50</f>
        <v>75.2293577981651</v>
      </c>
      <c r="E8" s="34" t="n">
        <f aca="false">C8*D8</f>
        <v>29324.4036697248</v>
      </c>
      <c r="F8" s="34" t="n">
        <f aca="false">B50+C50+D50</f>
        <v>744</v>
      </c>
      <c r="G8" s="129" t="n">
        <v>122</v>
      </c>
      <c r="H8" s="129" t="n">
        <v>2233</v>
      </c>
      <c r="I8" s="34" t="n">
        <f aca="false">E8+F8+G8-H8</f>
        <v>27957.4036697248</v>
      </c>
      <c r="J8" s="129" t="n">
        <v>38237</v>
      </c>
      <c r="K8" s="129" t="n">
        <v>2215</v>
      </c>
      <c r="L8" s="129" t="n">
        <v>1544</v>
      </c>
      <c r="M8" s="129" t="n">
        <v>902</v>
      </c>
      <c r="N8" s="130" t="n">
        <f aca="false">IF($B8=1,I8/J8,"")</f>
        <v>0.731161013409127</v>
      </c>
      <c r="O8" s="48" t="n">
        <f aca="false">IF($B8=1,I8/K8,"")</f>
        <v>12.621852672562</v>
      </c>
      <c r="P8" s="48" t="n">
        <f aca="false">IF($B8=1,I8/L8,"")</f>
        <v>18.1071267290964</v>
      </c>
      <c r="Q8" s="48" t="n">
        <f aca="false">IF($B8=1,E8/M8,"")</f>
        <v>32.5104253544621</v>
      </c>
      <c r="R8" s="31" t="s">
        <v>496</v>
      </c>
    </row>
    <row r="9" customFormat="false" ht="14.25" hidden="false" customHeight="true" outlineLevel="0" collapsed="false">
      <c r="A9" s="26" t="s">
        <v>497</v>
      </c>
      <c r="B9" s="64" t="n">
        <v>1</v>
      </c>
      <c r="C9" s="45" t="n">
        <v>102.2</v>
      </c>
      <c r="D9" s="131" t="n">
        <v>115.443</v>
      </c>
      <c r="E9" s="34" t="n">
        <f aca="false">C9*D9</f>
        <v>11798.2746</v>
      </c>
      <c r="F9" s="129" t="n">
        <v>-3518</v>
      </c>
      <c r="G9" s="129" t="n">
        <v>21.1</v>
      </c>
      <c r="H9" s="129" t="n">
        <v>595.3</v>
      </c>
      <c r="I9" s="34" t="n">
        <f aca="false">E9+F9+G9-H9</f>
        <v>7706.0746</v>
      </c>
      <c r="J9" s="129" t="n">
        <v>18714</v>
      </c>
      <c r="K9" s="129" t="n">
        <v>1883</v>
      </c>
      <c r="L9" s="129" t="n">
        <v>1247</v>
      </c>
      <c r="M9" s="129" t="n">
        <v>916.3</v>
      </c>
      <c r="N9" s="130" t="n">
        <f aca="false">IF($B9=1,I9/J9,"")</f>
        <v>0.41178126536283</v>
      </c>
      <c r="O9" s="48" t="n">
        <f aca="false">IF($B9=1,I9/K9,"")</f>
        <v>4.09244535315985</v>
      </c>
      <c r="P9" s="48" t="n">
        <f aca="false">IF($B9=1,I9/L9,"")</f>
        <v>6.17969093825181</v>
      </c>
      <c r="Q9" s="48" t="n">
        <f aca="false">IF($B9=1,E9/M9,"")</f>
        <v>12.8759954163484</v>
      </c>
      <c r="R9" s="31" t="s">
        <v>498</v>
      </c>
    </row>
    <row r="10" customFormat="false" ht="14.25" hidden="false" customHeight="true" outlineLevel="0" collapsed="false">
      <c r="A10" s="26" t="s">
        <v>499</v>
      </c>
      <c r="B10" s="64" t="n">
        <v>1</v>
      </c>
      <c r="C10" s="45" t="n">
        <v>263.8</v>
      </c>
      <c r="D10" s="128" t="n">
        <f aca="false">E51-F51</f>
        <v>413.967733</v>
      </c>
      <c r="E10" s="34" t="n">
        <f aca="false">C10*D10</f>
        <v>109204.6879654</v>
      </c>
      <c r="F10" s="34" t="n">
        <f aca="false">B51+C51+D51</f>
        <v>-5295</v>
      </c>
      <c r="G10" s="129" t="n">
        <v>192</v>
      </c>
      <c r="H10" s="129" t="n">
        <v>2318</v>
      </c>
      <c r="I10" s="34" t="n">
        <f aca="false">E10+F10+G10-H10</f>
        <v>101783.6879654</v>
      </c>
      <c r="J10" s="129" t="n">
        <v>179291</v>
      </c>
      <c r="K10" s="129" t="n">
        <v>10071</v>
      </c>
      <c r="L10" s="129" t="n">
        <v>7241</v>
      </c>
      <c r="M10" s="129" t="n">
        <v>6295</v>
      </c>
      <c r="N10" s="130" t="n">
        <f aca="false">IF($B10=1,I10/J10,"")</f>
        <v>0.567701044477414</v>
      </c>
      <c r="O10" s="48" t="n">
        <f aca="false">IF($B10=1,I10/K10,"")</f>
        <v>10.106611852388</v>
      </c>
      <c r="P10" s="48" t="n">
        <f aca="false">IF($B10=1,I10/L10,"")</f>
        <v>14.0565789207844</v>
      </c>
      <c r="Q10" s="48" t="n">
        <f aca="false">IF($B10=1,E10/M10,"")</f>
        <v>17.3478455862431</v>
      </c>
      <c r="R10" s="31" t="s">
        <v>500</v>
      </c>
    </row>
    <row r="11" customFormat="false" ht="14.25" hidden="false" customHeight="true" outlineLevel="0" collapsed="false">
      <c r="A11" s="26" t="s">
        <v>501</v>
      </c>
      <c r="B11" s="64" t="n">
        <v>0</v>
      </c>
      <c r="C11" s="45" t="n">
        <v>44.6</v>
      </c>
      <c r="D11" s="131" t="n">
        <v>733.755</v>
      </c>
      <c r="E11" s="34" t="n">
        <f aca="false">C11*D11</f>
        <v>32725.473</v>
      </c>
      <c r="F11" s="129" t="n">
        <v>5893</v>
      </c>
      <c r="G11" s="129" t="n">
        <v>1757</v>
      </c>
      <c r="H11" s="129" t="n">
        <v>3955</v>
      </c>
      <c r="I11" s="34" t="n">
        <f aca="false">E11+F11+G11-H11</f>
        <v>36420.473</v>
      </c>
      <c r="J11" s="129" t="n">
        <v>9627</v>
      </c>
      <c r="K11" s="129" t="n">
        <v>1457</v>
      </c>
      <c r="L11" s="129" t="n">
        <v>967</v>
      </c>
      <c r="M11" s="129" t="n">
        <v>888</v>
      </c>
      <c r="N11" s="130" t="str">
        <f aca="false">IF($B11=1,I11/J11,"")</f>
        <v/>
      </c>
      <c r="O11" s="48" t="str">
        <f aca="false">IF($B11=1,I11/K11,"")</f>
        <v/>
      </c>
      <c r="P11" s="48" t="str">
        <f aca="false">IF($B11=1,I11/L11,"")</f>
        <v/>
      </c>
      <c r="Q11" s="48" t="str">
        <f aca="false">IF($B11=1,E11/M11,"")</f>
        <v/>
      </c>
      <c r="R11" s="31" t="s">
        <v>502</v>
      </c>
    </row>
    <row r="13" customFormat="false" ht="31.5" hidden="false" customHeight="true" outlineLevel="0" collapsed="false">
      <c r="A13" s="126" t="s">
        <v>503</v>
      </c>
    </row>
    <row r="14" customFormat="false" ht="14.25" hidden="false" customHeight="true" outlineLevel="0" collapsed="false">
      <c r="A14" s="31" t="s">
        <v>504</v>
      </c>
      <c r="N14" s="48" t="n">
        <f aca="false">MIN(N$6:N$11)</f>
        <v>0.409845973993002</v>
      </c>
      <c r="O14" s="48" t="n">
        <f aca="false">MIN(O$6:O$11)</f>
        <v>4.09244535315985</v>
      </c>
      <c r="P14" s="48" t="n">
        <f aca="false">MIN(P$6:P$11)</f>
        <v>6.17969093825181</v>
      </c>
      <c r="Q14" s="48" t="n">
        <f aca="false">MIN(Q$6:Q$11)</f>
        <v>12.1195888521619</v>
      </c>
    </row>
    <row r="15" customFormat="false" ht="14.25" hidden="false" customHeight="true" outlineLevel="0" collapsed="false">
      <c r="A15" s="31" t="s">
        <v>505</v>
      </c>
      <c r="N15" s="132" t="n">
        <f aca="false">QUARTILE(N$6:N$11,1)</f>
        <v>0.41178126536283</v>
      </c>
      <c r="O15" s="132" t="n">
        <f aca="false">QUARTILE(O$6:O$11,1)</f>
        <v>4.17831322150923</v>
      </c>
      <c r="P15" s="132" t="n">
        <f aca="false">QUARTILE(P$6:P$11,1)</f>
        <v>8.67622349258736</v>
      </c>
      <c r="Q15" s="132" t="n">
        <f aca="false">QUARTILE(Q$6:Q$11,1)</f>
        <v>12.8759954163484</v>
      </c>
    </row>
    <row r="16" customFormat="false" ht="14.25" hidden="false" customHeight="true" outlineLevel="0" collapsed="false">
      <c r="A16" s="31" t="s">
        <v>506</v>
      </c>
      <c r="N16" s="132" t="n">
        <f aca="false">MEDIAN(N$6:N$11)</f>
        <v>0.567701044477414</v>
      </c>
      <c r="O16" s="132" t="n">
        <f aca="false">MEDIAN(O$6:O$11)</f>
        <v>6.13958274540238</v>
      </c>
      <c r="P16" s="132" t="n">
        <f aca="false">MEDIAN(P$6:P$11)</f>
        <v>9.12360448641879</v>
      </c>
      <c r="Q16" s="132" t="n">
        <f aca="false">MEDIAN(Q$6:Q$11)</f>
        <v>13.6087956615114</v>
      </c>
    </row>
    <row r="17" customFormat="false" ht="14.25" hidden="false" customHeight="true" outlineLevel="0" collapsed="false">
      <c r="A17" s="31" t="s">
        <v>507</v>
      </c>
      <c r="N17" s="48" t="n">
        <f aca="false">AVERAGE(N6:N11)</f>
        <v>0.64642615913654</v>
      </c>
      <c r="O17" s="48" t="n">
        <f aca="false">AVERAGE(O6:O11)</f>
        <v>7.4277611690043</v>
      </c>
      <c r="P17" s="48" t="n">
        <f aca="false">AVERAGE(P6:P11)</f>
        <v>11.2286449134277</v>
      </c>
      <c r="Q17" s="48" t="n">
        <f aca="false">AVERAGE(Q6:Q11)</f>
        <v>17.6925301741454</v>
      </c>
    </row>
    <row r="18" customFormat="false" ht="14.25" hidden="false" customHeight="true" outlineLevel="0" collapsed="false">
      <c r="A18" s="31" t="s">
        <v>508</v>
      </c>
      <c r="N18" s="132" t="n">
        <f aca="false">QUARTILE(N$6:N$11,3)</f>
        <v>0.731161013409127</v>
      </c>
      <c r="O18" s="132" t="n">
        <f aca="false">QUARTILE(O$6:O$11,3)</f>
        <v>10.106611852388</v>
      </c>
      <c r="P18" s="132" t="n">
        <f aca="false">QUARTILE(P$6:P$11,3)</f>
        <v>14.0565789207844</v>
      </c>
      <c r="Q18" s="132" t="n">
        <f aca="false">QUARTILE(Q$6:Q$11,3)</f>
        <v>17.3478455862431</v>
      </c>
    </row>
    <row r="19" customFormat="false" ht="14.25" hidden="false" customHeight="true" outlineLevel="0" collapsed="false">
      <c r="A19" s="31" t="s">
        <v>509</v>
      </c>
      <c r="N19" s="48" t="n">
        <f aca="false">MAX(N$6:N$11)</f>
        <v>1.11164149844033</v>
      </c>
      <c r="O19" s="48" t="n">
        <f aca="false">MAX(O$6:O$11)</f>
        <v>12.621852672562</v>
      </c>
      <c r="P19" s="48" t="n">
        <f aca="false">MAX(P$6:P$11)</f>
        <v>18.1071267290964</v>
      </c>
      <c r="Q19" s="48" t="n">
        <f aca="false">MAX(Q$6:Q$11)</f>
        <v>32.5104253544621</v>
      </c>
    </row>
    <row r="21" customFormat="false" ht="14.25" hidden="false" customHeight="true" outlineLevel="0" collapsed="false">
      <c r="A21" s="126" t="s">
        <v>510</v>
      </c>
    </row>
    <row r="22" customFormat="false" ht="14.25" hidden="false" customHeight="true" outlineLevel="0" collapsed="false">
      <c r="A22" s="31" t="s">
        <v>511</v>
      </c>
      <c r="B22" s="57" t="n">
        <f aca="false">Hypothèses!B9</f>
        <v>98.72</v>
      </c>
    </row>
    <row r="23" customFormat="false" ht="14.25" hidden="false" customHeight="true" outlineLevel="0" collapsed="false">
      <c r="A23" s="31" t="s">
        <v>479</v>
      </c>
      <c r="B23" s="52" t="n">
        <f aca="false">Hypothèses!B11</f>
        <v>9386.46976768</v>
      </c>
    </row>
    <row r="24" customFormat="false" ht="14.25" hidden="false" customHeight="true" outlineLevel="0" collapsed="false">
      <c r="A24" s="31" t="s">
        <v>512</v>
      </c>
      <c r="B24" s="49" t="n">
        <f aca="false">Données!$B$35</f>
        <v>9905</v>
      </c>
      <c r="D24" s="133"/>
    </row>
    <row r="25" customFormat="false" ht="14.25" hidden="false" customHeight="true" outlineLevel="0" collapsed="false">
      <c r="A25" s="31" t="s">
        <v>513</v>
      </c>
      <c r="B25" s="49" t="n">
        <f aca="false">Données!$B$36*Hypothèses!B13</f>
        <v>4105.64485981309</v>
      </c>
      <c r="D25" s="133"/>
    </row>
    <row r="26" customFormat="false" ht="14.25" hidden="false" customHeight="true" outlineLevel="0" collapsed="false">
      <c r="A26" s="31" t="s">
        <v>514</v>
      </c>
      <c r="B26" s="52" t="n">
        <f aca="false">Hypothèses!B20</f>
        <v>3093.9162</v>
      </c>
      <c r="D26" s="133"/>
    </row>
    <row r="27" customFormat="false" ht="14.25" hidden="false" customHeight="true" outlineLevel="0" collapsed="false">
      <c r="A27" s="31" t="s">
        <v>515</v>
      </c>
      <c r="B27" s="34" t="n">
        <f aca="false">B23+B24+B25-B26</f>
        <v>20303.1984274931</v>
      </c>
      <c r="D27" s="133"/>
    </row>
    <row r="28" customFormat="false" ht="14.25" hidden="false" customHeight="true" outlineLevel="0" collapsed="false">
      <c r="A28" s="31" t="s">
        <v>335</v>
      </c>
      <c r="B28" s="49" t="n">
        <f aca="false">Données!$B$19</f>
        <v>4394</v>
      </c>
      <c r="D28" s="133"/>
    </row>
    <row r="29" customFormat="false" ht="14.25" hidden="false" customHeight="true" outlineLevel="0" collapsed="false">
      <c r="A29" s="31" t="s">
        <v>484</v>
      </c>
      <c r="B29" s="49" t="n">
        <f aca="false">Données!$B$20</f>
        <v>2545</v>
      </c>
      <c r="D29" s="133"/>
    </row>
    <row r="30" customFormat="false" ht="14.25" hidden="false" customHeight="true" outlineLevel="0" collapsed="false">
      <c r="A30" s="31" t="s">
        <v>516</v>
      </c>
      <c r="B30" s="57" t="n">
        <f aca="false">Hypothèses!B12</f>
        <v>10.7</v>
      </c>
    </row>
    <row r="31" customFormat="false" ht="14.25" hidden="false" customHeight="true" outlineLevel="0" collapsed="false">
      <c r="A31" s="31" t="s">
        <v>517</v>
      </c>
      <c r="B31" s="48" t="n">
        <f aca="false">B27/B28</f>
        <v>4.62066418468209</v>
      </c>
    </row>
    <row r="32" customFormat="false" ht="14.25" hidden="false" customHeight="true" outlineLevel="0" collapsed="false">
      <c r="A32" s="31" t="s">
        <v>518</v>
      </c>
      <c r="B32" s="48" t="n">
        <f aca="false">B27/B29</f>
        <v>7.97768111099925</v>
      </c>
    </row>
    <row r="33" customFormat="false" ht="14.25" hidden="false" customHeight="true" outlineLevel="0" collapsed="false">
      <c r="A33" s="31" t="s">
        <v>306</v>
      </c>
      <c r="B33" s="48" t="n">
        <f aca="false">B22/B30</f>
        <v>9.22616822429907</v>
      </c>
    </row>
    <row r="36" customFormat="false" ht="25.5" hidden="false" customHeight="true" outlineLevel="0" collapsed="false">
      <c r="A36" s="126" t="s">
        <v>519</v>
      </c>
      <c r="B36" s="126" t="s">
        <v>520</v>
      </c>
      <c r="C36" s="126" t="s">
        <v>521</v>
      </c>
      <c r="D36" s="126" t="s">
        <v>522</v>
      </c>
      <c r="E36" s="126" t="s">
        <v>523</v>
      </c>
      <c r="F36" s="126" t="s">
        <v>524</v>
      </c>
      <c r="G36" s="126" t="s">
        <v>525</v>
      </c>
      <c r="H36" s="126" t="s">
        <v>526</v>
      </c>
    </row>
    <row r="37" customFormat="false" ht="14.25" hidden="false" customHeight="true" outlineLevel="0" collapsed="false">
      <c r="A37" s="31" t="s">
        <v>337</v>
      </c>
      <c r="B37" s="34" t="n">
        <f aca="false">B28</f>
        <v>4394</v>
      </c>
      <c r="C37" s="48" t="n">
        <f aca="false">O15</f>
        <v>4.17831322150923</v>
      </c>
      <c r="D37" s="48" t="n">
        <f aca="false">O16</f>
        <v>6.13958274540238</v>
      </c>
      <c r="E37" s="48" t="n">
        <f aca="false">O18</f>
        <v>10.106611852388</v>
      </c>
      <c r="F37" s="134" t="n">
        <f aca="false">(C37*$B37-$B$24-$B$25+$B$26)/Hypothèses!$B$10</f>
        <v>78.277693723187</v>
      </c>
      <c r="G37" s="134" t="n">
        <f aca="false">(D37*$B37-$B$24-$B$25+$B$26)/Hypothèses!$B$10</f>
        <v>168.913581596536</v>
      </c>
      <c r="H37" s="134" t="n">
        <f aca="false">(E37*$B37-$B$24-$B$25+$B$26)/Hypothèses!$B$10</f>
        <v>352.241370536704</v>
      </c>
    </row>
    <row r="38" customFormat="false" ht="14.25" hidden="false" customHeight="true" outlineLevel="0" collapsed="false">
      <c r="A38" s="31" t="s">
        <v>527</v>
      </c>
      <c r="B38" s="34" t="n">
        <f aca="false">B29</f>
        <v>2545</v>
      </c>
      <c r="C38" s="48" t="n">
        <f aca="false">P15</f>
        <v>8.67622349258736</v>
      </c>
      <c r="D38" s="48" t="n">
        <f aca="false">P16</f>
        <v>9.12360448641879</v>
      </c>
      <c r="E38" s="48" t="n">
        <f aca="false">P18</f>
        <v>14.0565789207844</v>
      </c>
      <c r="F38" s="134" t="n">
        <f aca="false">(C38*$B38-$B$24-$B$25+$B$26)/Hypothèses!$B$10</f>
        <v>117.417494243919</v>
      </c>
      <c r="G38" s="134" t="n">
        <f aca="false">(D38*$B38-$B$24-$B$25+$B$26)/Hypothèses!$B$10</f>
        <v>129.392291732919</v>
      </c>
      <c r="H38" s="134" t="n">
        <f aca="false">(E38*$B38-$B$24-$B$25+$B$26)/Hypothèses!$B$10</f>
        <v>261.430466542381</v>
      </c>
    </row>
    <row r="39" customFormat="false" ht="14.25" hidden="false" customHeight="true" outlineLevel="0" collapsed="false">
      <c r="A39" s="31" t="s">
        <v>528</v>
      </c>
      <c r="B39" s="74" t="n">
        <f aca="false">B30</f>
        <v>10.7</v>
      </c>
      <c r="C39" s="48" t="n">
        <f aca="false">Q15</f>
        <v>12.8759954163484</v>
      </c>
      <c r="D39" s="48" t="n">
        <f aca="false">Q16</f>
        <v>13.6087956615114</v>
      </c>
      <c r="E39" s="48" t="n">
        <f aca="false">Q18</f>
        <v>17.3478455862431</v>
      </c>
      <c r="F39" s="134" t="n">
        <f aca="false">C39*$B39</f>
        <v>137.773150954927</v>
      </c>
      <c r="G39" s="134" t="n">
        <f aca="false">D39*$B39</f>
        <v>145.614113578172</v>
      </c>
      <c r="H39" s="134" t="n">
        <f aca="false">E39*$B39</f>
        <v>185.621947772801</v>
      </c>
    </row>
    <row r="41" customFormat="false" ht="14.25" hidden="false" customHeight="true" outlineLevel="0" collapsed="false">
      <c r="A41" s="42" t="s">
        <v>529</v>
      </c>
    </row>
    <row r="42" customFormat="false" ht="14.25" hidden="false" customHeight="true" outlineLevel="0" collapsed="false">
      <c r="A42" s="42" t="s">
        <v>530</v>
      </c>
    </row>
    <row r="46" customFormat="false" ht="14.25" hidden="false" customHeight="true" outlineLevel="0" collapsed="false">
      <c r="A46" s="68" t="s">
        <v>531</v>
      </c>
    </row>
    <row r="47" customFormat="false" ht="14.25" hidden="false" customHeight="true" outlineLevel="0" collapsed="false">
      <c r="A47" s="28" t="s">
        <v>475</v>
      </c>
      <c r="B47" s="28" t="s">
        <v>532</v>
      </c>
      <c r="C47" s="28" t="s">
        <v>533</v>
      </c>
      <c r="D47" s="28" t="s">
        <v>534</v>
      </c>
      <c r="E47" s="28" t="s">
        <v>535</v>
      </c>
      <c r="F47" s="28" t="s">
        <v>536</v>
      </c>
      <c r="G47" s="28" t="s">
        <v>537</v>
      </c>
      <c r="H47" s="28" t="s">
        <v>538</v>
      </c>
      <c r="I47" s="28" t="s">
        <v>485</v>
      </c>
      <c r="J47" s="28" t="s">
        <v>539</v>
      </c>
      <c r="L47" s="135"/>
      <c r="M47" s="135"/>
      <c r="N47" s="135"/>
    </row>
    <row r="48" customFormat="false" ht="14.25" hidden="false" customHeight="true" outlineLevel="0" collapsed="false">
      <c r="A48" s="31" t="s">
        <v>491</v>
      </c>
      <c r="B48" s="136" t="n">
        <v>19075</v>
      </c>
      <c r="C48" s="136" t="n">
        <v>2112</v>
      </c>
      <c r="D48" s="136" t="n">
        <v>737</v>
      </c>
      <c r="E48" s="136" t="n">
        <v>581.81683</v>
      </c>
      <c r="F48" s="136" t="n">
        <v>26.727207</v>
      </c>
      <c r="L48" s="137"/>
      <c r="M48" s="137"/>
      <c r="N48" s="137"/>
    </row>
    <row r="49" customFormat="false" ht="14.25" hidden="false" customHeight="true" outlineLevel="0" collapsed="false">
      <c r="A49" s="31" t="s">
        <v>493</v>
      </c>
      <c r="B49" s="136" t="n">
        <v>4204</v>
      </c>
      <c r="C49" s="136" t="n">
        <v>2847</v>
      </c>
      <c r="D49" s="136" t="n">
        <v>572</v>
      </c>
      <c r="E49" s="136" t="n">
        <v>385.323631</v>
      </c>
      <c r="F49" s="136" t="n">
        <v>1.035555</v>
      </c>
      <c r="G49" s="136" t="n">
        <v>5124</v>
      </c>
      <c r="H49" s="136" t="n">
        <v>455</v>
      </c>
    </row>
    <row r="50" customFormat="false" ht="14.25" hidden="false" customHeight="true" outlineLevel="0" collapsed="false">
      <c r="A50" s="31" t="s">
        <v>495</v>
      </c>
      <c r="B50" s="136" t="n">
        <v>97</v>
      </c>
      <c r="C50" s="136" t="n">
        <v>423</v>
      </c>
      <c r="D50" s="136" t="n">
        <v>224</v>
      </c>
      <c r="I50" s="136" t="n">
        <v>902</v>
      </c>
      <c r="J50" s="136" t="n">
        <v>11.99</v>
      </c>
    </row>
    <row r="51" customFormat="false" ht="14.25" hidden="false" customHeight="true" outlineLevel="0" collapsed="false">
      <c r="A51" s="31" t="s">
        <v>499</v>
      </c>
      <c r="B51" s="136" t="n">
        <v>-11504</v>
      </c>
      <c r="C51" s="136" t="n">
        <v>6209</v>
      </c>
      <c r="D51" s="136" t="n">
        <v>0</v>
      </c>
      <c r="E51" s="136" t="n">
        <v>419.903072</v>
      </c>
      <c r="F51" s="136" t="n">
        <v>5.935339</v>
      </c>
    </row>
    <row r="52" customFormat="false" ht="14.25" hidden="false" customHeight="true" outlineLevel="0" collapsed="false">
      <c r="A52" s="33"/>
    </row>
  </sheetData>
  <mergeCells count="1">
    <mergeCell ref="N4:Q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2026-10-10T19:33:13Z</dcterms:created>
  <dc:creator>openpyxl</dc:creator>
  <dc:description/>
  <dc:language>en-US</dc:language>
  <cp:lastModifiedBy/>
  <dcterms:modified xsi:type="dcterms:W3CDTF">2026-10-14T01:15:44Z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